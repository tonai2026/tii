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1026" documentId="8_{6CE72F7D-CB2C-47B1-905A-4A7BE0ABC248}" xr6:coauthVersionLast="47" xr6:coauthVersionMax="47" xr10:uidLastSave="{02742DEA-546C-466C-ABAA-A2BB5B37C177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</sheets>
  <definedNames>
    <definedName name="_xlnm._FilterDatabase" localSheetId="1" hidden="1">'25-26 Budget-Actual Invoiced'!$C$1:$C$323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6" i="38" l="1"/>
  <c r="G296" i="38"/>
  <c r="H296" i="38"/>
  <c r="I296" i="38"/>
  <c r="J296" i="38"/>
  <c r="K296" i="38"/>
  <c r="L296" i="38"/>
  <c r="M296" i="38"/>
  <c r="N296" i="38"/>
  <c r="O296" i="38"/>
  <c r="P296" i="38"/>
  <c r="E296" i="38"/>
  <c r="F113" i="38"/>
  <c r="G113" i="38"/>
  <c r="H113" i="38"/>
  <c r="I113" i="38"/>
  <c r="J113" i="38"/>
  <c r="K113" i="38"/>
  <c r="L113" i="38"/>
  <c r="M113" i="38"/>
  <c r="N113" i="38"/>
  <c r="O113" i="38"/>
  <c r="P113" i="38"/>
  <c r="E113" i="38"/>
  <c r="C16" i="40" l="1"/>
  <c r="C15" i="40"/>
  <c r="D12" i="40"/>
  <c r="D15" i="40" s="1"/>
  <c r="C7" i="40"/>
  <c r="C9" i="40"/>
  <c r="N16" i="40"/>
  <c r="N17" i="40" s="1"/>
  <c r="M16" i="40"/>
  <c r="M17" i="40" s="1"/>
  <c r="L16" i="40"/>
  <c r="L17" i="40" s="1"/>
  <c r="K16" i="40"/>
  <c r="K17" i="40" s="1"/>
  <c r="J16" i="40"/>
  <c r="J17" i="40" s="1"/>
  <c r="I16" i="40"/>
  <c r="I17" i="40" s="1"/>
  <c r="H16" i="40"/>
  <c r="H17" i="40" s="1"/>
  <c r="G16" i="40"/>
  <c r="G17" i="40" s="1"/>
  <c r="F16" i="40"/>
  <c r="F17" i="40" s="1"/>
  <c r="E16" i="40"/>
  <c r="D16" i="40"/>
  <c r="D17" i="40" s="1"/>
  <c r="N15" i="40"/>
  <c r="M15" i="40"/>
  <c r="L15" i="40"/>
  <c r="K15" i="40"/>
  <c r="J15" i="40"/>
  <c r="I15" i="40"/>
  <c r="H15" i="40"/>
  <c r="G15" i="40"/>
  <c r="F15" i="40"/>
  <c r="E15" i="40"/>
  <c r="E17" i="40" l="1"/>
  <c r="D33" i="40" l="1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I11" i="40"/>
  <c r="H11" i="40"/>
  <c r="G11" i="40"/>
  <c r="F11" i="40"/>
  <c r="E11" i="40"/>
  <c r="D11" i="40"/>
  <c r="O10" i="40"/>
  <c r="O11" i="40" s="1"/>
  <c r="O8" i="40"/>
  <c r="N7" i="40"/>
  <c r="M7" i="40"/>
  <c r="L7" i="40"/>
  <c r="K7" i="40"/>
  <c r="J7" i="40"/>
  <c r="I7" i="40"/>
  <c r="H7" i="40"/>
  <c r="G7" i="40"/>
  <c r="F7" i="40"/>
  <c r="E7" i="40"/>
  <c r="D7" i="40"/>
  <c r="O6" i="40"/>
  <c r="F114" i="38"/>
  <c r="G114" i="38"/>
  <c r="H114" i="38"/>
  <c r="I114" i="38"/>
  <c r="J114" i="38"/>
  <c r="K114" i="38"/>
  <c r="L114" i="38"/>
  <c r="M114" i="38"/>
  <c r="N114" i="38"/>
  <c r="O114" i="38"/>
  <c r="P114" i="38"/>
  <c r="E114" i="38"/>
  <c r="Q104" i="38"/>
  <c r="Q103" i="38"/>
  <c r="Q294" i="38"/>
  <c r="F159" i="38"/>
  <c r="G159" i="38"/>
  <c r="H159" i="38"/>
  <c r="I159" i="38"/>
  <c r="J159" i="38"/>
  <c r="K159" i="38"/>
  <c r="L159" i="38"/>
  <c r="M159" i="38"/>
  <c r="N159" i="38"/>
  <c r="O159" i="38"/>
  <c r="P159" i="38"/>
  <c r="F68" i="38"/>
  <c r="G68" i="38"/>
  <c r="H68" i="38"/>
  <c r="I68" i="38"/>
  <c r="J68" i="38"/>
  <c r="K68" i="38"/>
  <c r="L68" i="38"/>
  <c r="M68" i="38"/>
  <c r="N68" i="38"/>
  <c r="O68" i="38"/>
  <c r="P68" i="38"/>
  <c r="O14" i="40"/>
  <c r="O20" i="40"/>
  <c r="O21" i="40"/>
  <c r="O22" i="40"/>
  <c r="O23" i="40"/>
  <c r="O24" i="40"/>
  <c r="O25" i="40"/>
  <c r="O26" i="40"/>
  <c r="O27" i="40"/>
  <c r="O28" i="40"/>
  <c r="O19" i="40"/>
  <c r="C11" i="40" l="1"/>
  <c r="O7" i="40"/>
  <c r="O9" i="40"/>
  <c r="O12" i="40"/>
  <c r="O15" i="40" s="1"/>
  <c r="O34" i="40"/>
  <c r="O33" i="40"/>
  <c r="R103" i="38"/>
  <c r="Q80" i="38"/>
  <c r="Q79" i="38"/>
  <c r="F260" i="38"/>
  <c r="G260" i="38"/>
  <c r="H260" i="38"/>
  <c r="I260" i="38"/>
  <c r="J260" i="38"/>
  <c r="K260" i="38"/>
  <c r="L260" i="38"/>
  <c r="M260" i="38"/>
  <c r="N260" i="38"/>
  <c r="O260" i="38"/>
  <c r="P260" i="38"/>
  <c r="E260" i="38"/>
  <c r="C17" i="40" l="1"/>
  <c r="O16" i="40"/>
  <c r="O17" i="40" s="1"/>
  <c r="R79" i="38"/>
  <c r="F311" i="38" l="1"/>
  <c r="G311" i="38"/>
  <c r="H311" i="38"/>
  <c r="I311" i="38"/>
  <c r="J311" i="38"/>
  <c r="K311" i="38"/>
  <c r="L311" i="38"/>
  <c r="M311" i="38"/>
  <c r="N311" i="38"/>
  <c r="O311" i="38"/>
  <c r="P311" i="38"/>
  <c r="F312" i="38"/>
  <c r="G312" i="38"/>
  <c r="H312" i="38"/>
  <c r="I312" i="38"/>
  <c r="J312" i="38"/>
  <c r="K312" i="38"/>
  <c r="L312" i="38"/>
  <c r="M312" i="38"/>
  <c r="N312" i="38"/>
  <c r="O312" i="38"/>
  <c r="P312" i="38"/>
  <c r="E311" i="38"/>
  <c r="E312" i="38"/>
  <c r="E297" i="38"/>
  <c r="F297" i="38"/>
  <c r="G297" i="38"/>
  <c r="H297" i="38"/>
  <c r="I297" i="38"/>
  <c r="J297" i="38"/>
  <c r="K297" i="38"/>
  <c r="L297" i="38"/>
  <c r="M297" i="38"/>
  <c r="N297" i="38"/>
  <c r="O297" i="38"/>
  <c r="P297" i="38"/>
  <c r="G259" i="38"/>
  <c r="H259" i="38"/>
  <c r="I259" i="38"/>
  <c r="J259" i="38"/>
  <c r="K259" i="38"/>
  <c r="L259" i="38"/>
  <c r="M259" i="38"/>
  <c r="N259" i="38"/>
  <c r="O259" i="38"/>
  <c r="P259" i="38"/>
  <c r="F237" i="38"/>
  <c r="G237" i="38"/>
  <c r="H237" i="38"/>
  <c r="I237" i="38"/>
  <c r="J237" i="38"/>
  <c r="K237" i="38"/>
  <c r="L237" i="38"/>
  <c r="M237" i="38"/>
  <c r="N237" i="38"/>
  <c r="O237" i="38"/>
  <c r="P237" i="38"/>
  <c r="F238" i="38"/>
  <c r="G238" i="38"/>
  <c r="H238" i="38"/>
  <c r="I238" i="38"/>
  <c r="J238" i="38"/>
  <c r="K238" i="38"/>
  <c r="L238" i="38"/>
  <c r="M238" i="38"/>
  <c r="N238" i="38"/>
  <c r="O238" i="38"/>
  <c r="P238" i="38"/>
  <c r="E237" i="38"/>
  <c r="E238" i="38"/>
  <c r="F158" i="38"/>
  <c r="G158" i="38"/>
  <c r="H158" i="38"/>
  <c r="I158" i="38"/>
  <c r="J158" i="38"/>
  <c r="K158" i="38"/>
  <c r="L158" i="38"/>
  <c r="M158" i="38"/>
  <c r="N158" i="38"/>
  <c r="O158" i="38"/>
  <c r="P158" i="38"/>
  <c r="E158" i="38"/>
  <c r="E159" i="38"/>
  <c r="E68" i="38"/>
  <c r="F67" i="38"/>
  <c r="G67" i="38"/>
  <c r="H67" i="38"/>
  <c r="I67" i="38"/>
  <c r="J67" i="38"/>
  <c r="K67" i="38"/>
  <c r="L67" i="38"/>
  <c r="M67" i="38"/>
  <c r="N67" i="38"/>
  <c r="O67" i="38"/>
  <c r="P67" i="38"/>
  <c r="E67" i="38"/>
  <c r="Q309" i="38"/>
  <c r="Q308" i="38"/>
  <c r="Q306" i="38"/>
  <c r="Q305" i="38"/>
  <c r="Q303" i="38"/>
  <c r="Q302" i="38"/>
  <c r="Q293" i="38"/>
  <c r="Q292" i="38"/>
  <c r="Q290" i="38"/>
  <c r="Q289" i="38"/>
  <c r="Q287" i="38"/>
  <c r="Q286" i="38"/>
  <c r="Q284" i="38"/>
  <c r="Q283" i="38"/>
  <c r="Q281" i="38"/>
  <c r="Q280" i="38"/>
  <c r="Q278" i="38"/>
  <c r="Q277" i="38"/>
  <c r="Q275" i="38"/>
  <c r="Q274" i="38"/>
  <c r="Q272" i="38"/>
  <c r="Q271" i="38"/>
  <c r="Q269" i="38"/>
  <c r="Q268" i="38"/>
  <c r="Q266" i="38"/>
  <c r="Q265" i="38"/>
  <c r="Q257" i="38"/>
  <c r="Q253" i="38"/>
  <c r="Q252" i="38"/>
  <c r="Q250" i="38"/>
  <c r="Q249" i="38"/>
  <c r="Q247" i="38"/>
  <c r="Q246" i="38"/>
  <c r="Q244" i="38"/>
  <c r="Q243" i="38"/>
  <c r="Q235" i="38"/>
  <c r="Q234" i="38"/>
  <c r="Q233" i="38"/>
  <c r="Q231" i="38"/>
  <c r="Q230" i="38"/>
  <c r="Q228" i="38"/>
  <c r="Q227" i="38"/>
  <c r="Q225" i="38"/>
  <c r="Q224" i="38"/>
  <c r="Q222" i="38"/>
  <c r="Q221" i="38"/>
  <c r="Q219" i="38"/>
  <c r="Q218" i="38"/>
  <c r="Q216" i="38"/>
  <c r="Q215" i="38"/>
  <c r="Q213" i="38"/>
  <c r="Q212" i="38"/>
  <c r="Q210" i="38"/>
  <c r="Q209" i="38"/>
  <c r="Q207" i="38"/>
  <c r="Q206" i="38"/>
  <c r="Q204" i="38"/>
  <c r="Q203" i="38"/>
  <c r="Q201" i="38"/>
  <c r="Q200" i="38"/>
  <c r="Q198" i="38"/>
  <c r="Q197" i="38"/>
  <c r="Q195" i="38"/>
  <c r="Q194" i="38"/>
  <c r="Q192" i="38"/>
  <c r="Q191" i="38"/>
  <c r="Q189" i="38"/>
  <c r="Q188" i="38"/>
  <c r="Q186" i="38"/>
  <c r="Q185" i="38"/>
  <c r="Q183" i="38"/>
  <c r="Q182" i="38"/>
  <c r="Q180" i="38"/>
  <c r="Q179" i="38"/>
  <c r="Q177" i="38"/>
  <c r="Q176" i="38"/>
  <c r="Q174" i="38"/>
  <c r="Q173" i="38"/>
  <c r="Q171" i="38"/>
  <c r="Q170" i="38"/>
  <c r="Q168" i="38"/>
  <c r="Q167" i="38"/>
  <c r="Q165" i="38"/>
  <c r="Q164" i="38"/>
  <c r="Q156" i="38"/>
  <c r="Q155" i="38"/>
  <c r="Q153" i="38"/>
  <c r="Q152" i="38"/>
  <c r="Q150" i="38"/>
  <c r="Q149" i="38"/>
  <c r="Q147" i="38"/>
  <c r="Q146" i="38"/>
  <c r="Q144" i="38"/>
  <c r="Q143" i="38"/>
  <c r="Q141" i="38"/>
  <c r="Q140" i="38"/>
  <c r="Q138" i="38"/>
  <c r="Q137" i="38"/>
  <c r="Q135" i="38"/>
  <c r="Q134" i="38"/>
  <c r="Q132" i="38"/>
  <c r="Q131" i="38"/>
  <c r="Q129" i="38"/>
  <c r="Q128" i="38"/>
  <c r="Q126" i="38"/>
  <c r="Q125" i="38"/>
  <c r="Q123" i="38"/>
  <c r="Q122" i="38"/>
  <c r="Q120" i="38"/>
  <c r="Q119" i="38"/>
  <c r="Q111" i="38"/>
  <c r="Q110" i="38"/>
  <c r="Q64" i="38"/>
  <c r="Q109" i="38"/>
  <c r="Q107" i="38"/>
  <c r="Q106" i="38"/>
  <c r="Q101" i="38"/>
  <c r="Q100" i="38"/>
  <c r="Q98" i="38"/>
  <c r="Q97" i="38"/>
  <c r="Q95" i="38"/>
  <c r="Q94" i="38"/>
  <c r="Q92" i="38"/>
  <c r="Q91" i="38"/>
  <c r="Q89" i="38"/>
  <c r="Q88" i="38"/>
  <c r="Q86" i="38"/>
  <c r="Q85" i="38"/>
  <c r="Q83" i="38"/>
  <c r="Q82" i="38"/>
  <c r="Q77" i="38"/>
  <c r="Q76" i="38"/>
  <c r="Q74" i="38"/>
  <c r="Q73" i="38"/>
  <c r="Q65" i="38"/>
  <c r="Q63" i="38"/>
  <c r="Q61" i="38"/>
  <c r="Q60" i="38"/>
  <c r="Q58" i="38"/>
  <c r="Q57" i="38"/>
  <c r="Q55" i="38"/>
  <c r="Q54" i="38"/>
  <c r="Q52" i="38"/>
  <c r="Q51" i="38"/>
  <c r="Q49" i="38"/>
  <c r="Q48" i="38"/>
  <c r="Q46" i="38"/>
  <c r="Q45" i="38"/>
  <c r="Q43" i="38"/>
  <c r="Q42" i="38"/>
  <c r="Q40" i="38"/>
  <c r="Q39" i="38"/>
  <c r="Q37" i="38"/>
  <c r="Q36" i="38"/>
  <c r="Q34" i="38"/>
  <c r="Q33" i="38"/>
  <c r="Q31" i="38"/>
  <c r="Q30" i="38"/>
  <c r="Q28" i="38"/>
  <c r="Q27" i="38"/>
  <c r="Q25" i="38"/>
  <c r="Q24" i="38"/>
  <c r="Q22" i="38"/>
  <c r="Q21" i="38"/>
  <c r="Q19" i="38"/>
  <c r="Q18" i="38"/>
  <c r="Q16" i="38"/>
  <c r="Q15" i="38"/>
  <c r="Q13" i="38"/>
  <c r="Q12" i="38"/>
  <c r="Q10" i="38"/>
  <c r="Q9" i="38"/>
  <c r="Q7" i="38"/>
  <c r="Q6" i="38"/>
  <c r="Q4" i="38"/>
  <c r="Q3" i="38"/>
  <c r="Q113" i="38" l="1"/>
  <c r="Q296" i="38"/>
  <c r="E319" i="38"/>
  <c r="Q114" i="38"/>
  <c r="Q297" i="38"/>
  <c r="Q312" i="38"/>
  <c r="Q260" i="38"/>
  <c r="N319" i="38"/>
  <c r="Q311" i="38"/>
  <c r="K319" i="38"/>
  <c r="M319" i="38"/>
  <c r="L319" i="38"/>
  <c r="O318" i="38"/>
  <c r="M13" i="40" s="1"/>
  <c r="N318" i="38"/>
  <c r="L13" i="40" s="1"/>
  <c r="F319" i="38"/>
  <c r="P318" i="38"/>
  <c r="N13" i="40" s="1"/>
  <c r="M318" i="38"/>
  <c r="K13" i="40" s="1"/>
  <c r="O319" i="38"/>
  <c r="K318" i="38"/>
  <c r="I13" i="40" s="1"/>
  <c r="J318" i="38"/>
  <c r="H13" i="40" s="1"/>
  <c r="I318" i="38"/>
  <c r="G13" i="40" s="1"/>
  <c r="H318" i="38"/>
  <c r="F13" i="40" s="1"/>
  <c r="L318" i="38"/>
  <c r="J13" i="40" s="1"/>
  <c r="P319" i="38"/>
  <c r="G318" i="38"/>
  <c r="E13" i="40" s="1"/>
  <c r="J319" i="38"/>
  <c r="I319" i="38"/>
  <c r="H319" i="38"/>
  <c r="G319" i="38"/>
  <c r="Q67" i="38"/>
  <c r="Q68" i="38"/>
  <c r="Q238" i="38"/>
  <c r="Q237" i="38"/>
  <c r="Q158" i="38"/>
  <c r="Q159" i="38"/>
  <c r="E299" i="38"/>
  <c r="E115" i="38"/>
  <c r="R85" i="38"/>
  <c r="Q319" i="38" l="1"/>
  <c r="S104" i="38" l="1"/>
  <c r="S80" i="38"/>
  <c r="S77" i="38"/>
  <c r="S68" i="38"/>
  <c r="S312" i="38"/>
  <c r="S114" i="38"/>
  <c r="S159" i="38"/>
  <c r="S238" i="38"/>
  <c r="S260" i="38"/>
  <c r="S297" i="38"/>
  <c r="R42" i="38"/>
  <c r="R54" i="38"/>
  <c r="R36" i="38" l="1"/>
  <c r="R9" i="38"/>
  <c r="R170" i="38" l="1"/>
  <c r="H69" i="38" l="1"/>
  <c r="G69" i="38"/>
  <c r="F70" i="38"/>
  <c r="F71" i="38" s="1"/>
  <c r="E70" i="38"/>
  <c r="E71" i="38" s="1"/>
  <c r="I69" i="38"/>
  <c r="H70" i="38"/>
  <c r="H71" i="38" s="1"/>
  <c r="M70" i="38"/>
  <c r="N70" i="38"/>
  <c r="L70" i="38"/>
  <c r="J69" i="38"/>
  <c r="G70" i="38"/>
  <c r="G71" i="38" s="1"/>
  <c r="K69" i="38"/>
  <c r="K70" i="38"/>
  <c r="K71" i="38" s="1"/>
  <c r="J70" i="38"/>
  <c r="J71" i="38" s="1"/>
  <c r="I70" i="38"/>
  <c r="I71" i="38" s="1"/>
  <c r="F69" i="38"/>
  <c r="E69" i="38"/>
  <c r="R286" i="38" l="1"/>
  <c r="R76" i="38"/>
  <c r="P315" i="38"/>
  <c r="O315" i="38"/>
  <c r="M315" i="38"/>
  <c r="L315" i="38"/>
  <c r="K315" i="38"/>
  <c r="I315" i="38"/>
  <c r="H315" i="38"/>
  <c r="G239" i="38"/>
  <c r="R230" i="38"/>
  <c r="R212" i="38"/>
  <c r="R203" i="38"/>
  <c r="R194" i="38"/>
  <c r="R185" i="38"/>
  <c r="P116" i="38"/>
  <c r="P117" i="38" s="1"/>
  <c r="N116" i="38"/>
  <c r="N117" i="38" s="1"/>
  <c r="M115" i="38"/>
  <c r="K115" i="38"/>
  <c r="J116" i="38"/>
  <c r="J117" i="38" s="1"/>
  <c r="I116" i="38"/>
  <c r="I117" i="38" s="1"/>
  <c r="H115" i="38"/>
  <c r="G116" i="38"/>
  <c r="G117" i="38" s="1"/>
  <c r="F116" i="38"/>
  <c r="F117" i="38" s="1"/>
  <c r="O70" i="38"/>
  <c r="R91" i="38" l="1"/>
  <c r="R249" i="38"/>
  <c r="R97" i="38"/>
  <c r="R109" i="38"/>
  <c r="I298" i="38"/>
  <c r="R305" i="38"/>
  <c r="R252" i="38"/>
  <c r="G313" i="38"/>
  <c r="N299" i="38"/>
  <c r="N300" i="38" s="1"/>
  <c r="J261" i="38"/>
  <c r="I261" i="38"/>
  <c r="N261" i="38"/>
  <c r="H261" i="38"/>
  <c r="R246" i="38"/>
  <c r="K261" i="38"/>
  <c r="L261" i="38"/>
  <c r="M261" i="38"/>
  <c r="R200" i="38"/>
  <c r="R51" i="38"/>
  <c r="R12" i="38"/>
  <c r="R60" i="38"/>
  <c r="M240" i="38"/>
  <c r="M241" i="38" s="1"/>
  <c r="J240" i="38"/>
  <c r="J241" i="38" s="1"/>
  <c r="R182" i="38"/>
  <c r="R176" i="38"/>
  <c r="O240" i="38"/>
  <c r="O241" i="38" s="1"/>
  <c r="P239" i="38"/>
  <c r="F240" i="38"/>
  <c r="F241" i="38" s="1"/>
  <c r="E240" i="38"/>
  <c r="E241" i="38" s="1"/>
  <c r="R164" i="38"/>
  <c r="R308" i="38"/>
  <c r="P298" i="38"/>
  <c r="R280" i="38"/>
  <c r="E300" i="38"/>
  <c r="R274" i="38"/>
  <c r="H299" i="38"/>
  <c r="H300" i="38" s="1"/>
  <c r="F299" i="38"/>
  <c r="F300" i="38" s="1"/>
  <c r="R265" i="38"/>
  <c r="R218" i="38"/>
  <c r="K239" i="38"/>
  <c r="R221" i="38"/>
  <c r="R21" i="38"/>
  <c r="R45" i="38"/>
  <c r="L240" i="38"/>
  <c r="L241" i="38" s="1"/>
  <c r="R18" i="38"/>
  <c r="R39" i="38"/>
  <c r="P70" i="38"/>
  <c r="R30" i="38"/>
  <c r="R6" i="38"/>
  <c r="R27" i="38"/>
  <c r="O298" i="38"/>
  <c r="G299" i="38"/>
  <c r="G300" i="38" s="1"/>
  <c r="J115" i="38"/>
  <c r="R100" i="38"/>
  <c r="K240" i="38"/>
  <c r="K241" i="38" s="1"/>
  <c r="R128" i="38"/>
  <c r="R146" i="38"/>
  <c r="R173" i="38"/>
  <c r="R191" i="38"/>
  <c r="R209" i="38"/>
  <c r="R227" i="38"/>
  <c r="R15" i="38"/>
  <c r="R33" i="38"/>
  <c r="R57" i="38"/>
  <c r="R143" i="38"/>
  <c r="R167" i="38"/>
  <c r="R188" i="38"/>
  <c r="R206" i="38"/>
  <c r="R224" i="38"/>
  <c r="R268" i="38"/>
  <c r="R289" i="38"/>
  <c r="R82" i="38"/>
  <c r="R106" i="38"/>
  <c r="R292" i="38"/>
  <c r="P261" i="38"/>
  <c r="P240" i="38"/>
  <c r="P241" i="38" s="1"/>
  <c r="O262" i="38"/>
  <c r="O263" i="38" s="1"/>
  <c r="R243" i="38"/>
  <c r="P161" i="38"/>
  <c r="P162" i="38" s="1"/>
  <c r="R88" i="38"/>
  <c r="R125" i="38"/>
  <c r="G161" i="38"/>
  <c r="G162" i="38" s="1"/>
  <c r="H161" i="38"/>
  <c r="H162" i="38" s="1"/>
  <c r="I161" i="38"/>
  <c r="I162" i="38" s="1"/>
  <c r="M161" i="38"/>
  <c r="M162" i="38" s="1"/>
  <c r="R63" i="38"/>
  <c r="N160" i="38"/>
  <c r="H298" i="38"/>
  <c r="J262" i="38"/>
  <c r="J263" i="38" s="1"/>
  <c r="G261" i="38"/>
  <c r="R94" i="38"/>
  <c r="G115" i="38"/>
  <c r="L239" i="38"/>
  <c r="R277" i="38"/>
  <c r="F161" i="38"/>
  <c r="F162" i="38" s="1"/>
  <c r="J160" i="38"/>
  <c r="G160" i="38"/>
  <c r="H160" i="38"/>
  <c r="R137" i="38"/>
  <c r="O261" i="38"/>
  <c r="P262" i="38"/>
  <c r="P263" i="38" s="1"/>
  <c r="R140" i="38"/>
  <c r="E298" i="38"/>
  <c r="K116" i="38"/>
  <c r="K117" i="38" s="1"/>
  <c r="J161" i="38"/>
  <c r="J162" i="38" s="1"/>
  <c r="N161" i="38"/>
  <c r="N162" i="38" s="1"/>
  <c r="O239" i="38"/>
  <c r="O299" i="38"/>
  <c r="O300" i="38" s="1"/>
  <c r="L115" i="38"/>
  <c r="R3" i="38"/>
  <c r="R24" i="38"/>
  <c r="R48" i="38"/>
  <c r="R73" i="38"/>
  <c r="M116" i="38"/>
  <c r="M117" i="38" s="1"/>
  <c r="E239" i="38"/>
  <c r="E161" i="38"/>
  <c r="E162" i="38" s="1"/>
  <c r="F160" i="38"/>
  <c r="E116" i="38"/>
  <c r="E117" i="38" s="1"/>
  <c r="P160" i="38"/>
  <c r="R149" i="38"/>
  <c r="L262" i="38"/>
  <c r="L263" i="38" s="1"/>
  <c r="F239" i="38"/>
  <c r="R119" i="38"/>
  <c r="G240" i="38"/>
  <c r="G241" i="38" s="1"/>
  <c r="G298" i="38"/>
  <c r="N262" i="38"/>
  <c r="N263" i="38" s="1"/>
  <c r="H116" i="38"/>
  <c r="H117" i="38" s="1"/>
  <c r="I115" i="38"/>
  <c r="R131" i="38"/>
  <c r="R134" i="38"/>
  <c r="R152" i="38"/>
  <c r="I160" i="38"/>
  <c r="R179" i="38"/>
  <c r="R197" i="38"/>
  <c r="R215" i="38"/>
  <c r="N240" i="38"/>
  <c r="N241" i="38" s="1"/>
  <c r="R283" i="38"/>
  <c r="K262" i="38"/>
  <c r="K263" i="38" s="1"/>
  <c r="M262" i="38"/>
  <c r="M263" i="38" s="1"/>
  <c r="G262" i="38"/>
  <c r="G263" i="38" s="1"/>
  <c r="L116" i="38"/>
  <c r="L117" i="38" s="1"/>
  <c r="R122" i="38"/>
  <c r="K160" i="38"/>
  <c r="K161" i="38"/>
  <c r="K162" i="38" s="1"/>
  <c r="H239" i="38"/>
  <c r="H240" i="38"/>
  <c r="H241" i="38" s="1"/>
  <c r="I239" i="38"/>
  <c r="I240" i="38"/>
  <c r="I241" i="38" s="1"/>
  <c r="J299" i="38"/>
  <c r="J300" i="38" s="1"/>
  <c r="J298" i="38"/>
  <c r="K298" i="38"/>
  <c r="R271" i="38"/>
  <c r="F314" i="38"/>
  <c r="F315" i="38" s="1"/>
  <c r="F313" i="38"/>
  <c r="I262" i="38"/>
  <c r="I263" i="38" s="1"/>
  <c r="L160" i="38"/>
  <c r="L161" i="38"/>
  <c r="L162" i="38" s="1"/>
  <c r="K299" i="38"/>
  <c r="K300" i="38" s="1"/>
  <c r="M299" i="38"/>
  <c r="M300" i="38" s="1"/>
  <c r="M298" i="38"/>
  <c r="F115" i="38"/>
  <c r="N239" i="38"/>
  <c r="N115" i="38"/>
  <c r="O116" i="38"/>
  <c r="O117" i="38" s="1"/>
  <c r="O115" i="38"/>
  <c r="O161" i="38"/>
  <c r="O162" i="38" s="1"/>
  <c r="H262" i="38"/>
  <c r="H263" i="38" s="1"/>
  <c r="L298" i="38"/>
  <c r="L299" i="38"/>
  <c r="L300" i="38" s="1"/>
  <c r="E160" i="38"/>
  <c r="R302" i="38"/>
  <c r="O160" i="38"/>
  <c r="R155" i="38"/>
  <c r="I299" i="38"/>
  <c r="I300" i="38" s="1"/>
  <c r="J315" i="38"/>
  <c r="E313" i="38"/>
  <c r="M160" i="38"/>
  <c r="J239" i="38"/>
  <c r="N298" i="38"/>
  <c r="N315" i="38"/>
  <c r="P115" i="38"/>
  <c r="E314" i="38"/>
  <c r="E315" i="38" s="1"/>
  <c r="M239" i="38"/>
  <c r="P299" i="38"/>
  <c r="P300" i="38" s="1"/>
  <c r="F298" i="38"/>
  <c r="Q299" i="38" l="1"/>
  <c r="Q300" i="38" s="1"/>
  <c r="R296" i="38"/>
  <c r="R158" i="38"/>
  <c r="Q313" i="38"/>
  <c r="Q298" i="38"/>
  <c r="R311" i="38"/>
  <c r="Q314" i="38"/>
  <c r="Q315" i="38" s="1"/>
  <c r="Q161" i="38"/>
  <c r="Q162" i="38" s="1"/>
  <c r="Q160" i="38"/>
  <c r="S86" i="38"/>
  <c r="N320" i="38"/>
  <c r="N321" i="38"/>
  <c r="N322" i="38" s="1"/>
  <c r="H321" i="38"/>
  <c r="H322" i="38" s="1"/>
  <c r="H320" i="38"/>
  <c r="G321" i="38"/>
  <c r="G322" i="38" s="1"/>
  <c r="G320" i="38"/>
  <c r="I321" i="38"/>
  <c r="I322" i="38" s="1"/>
  <c r="I320" i="38"/>
  <c r="Q115" i="38"/>
  <c r="R237" i="38"/>
  <c r="Q240" i="38"/>
  <c r="Q241" i="38" s="1"/>
  <c r="Q239" i="38"/>
  <c r="M321" i="38"/>
  <c r="M322" i="38" s="1"/>
  <c r="M320" i="38"/>
  <c r="R113" i="38"/>
  <c r="Q116" i="38"/>
  <c r="Q117" i="38" s="1"/>
  <c r="R67" i="38"/>
  <c r="Q70" i="38"/>
  <c r="Q71" i="38" s="1"/>
  <c r="Q69" i="38"/>
  <c r="L321" i="38"/>
  <c r="L322" i="38" s="1"/>
  <c r="L320" i="38"/>
  <c r="J321" i="38"/>
  <c r="J322" i="38" s="1"/>
  <c r="J320" i="38"/>
  <c r="P321" i="38"/>
  <c r="P322" i="38" s="1"/>
  <c r="P320" i="38"/>
  <c r="O321" i="38"/>
  <c r="O322" i="38" s="1"/>
  <c r="O320" i="38"/>
  <c r="K320" i="38"/>
  <c r="K321" i="38"/>
  <c r="K322" i="38" s="1"/>
  <c r="S43" i="38" l="1"/>
  <c r="S37" i="38"/>
  <c r="S55" i="38"/>
  <c r="S171" i="38"/>
  <c r="S10" i="38"/>
  <c r="S177" i="38"/>
  <c r="S287" i="38"/>
  <c r="S101" i="38"/>
  <c r="S153" i="38"/>
  <c r="S306" i="38"/>
  <c r="S135" i="38"/>
  <c r="S107" i="38"/>
  <c r="S290" i="38"/>
  <c r="S132" i="38"/>
  <c r="S13" i="38"/>
  <c r="S141" i="38"/>
  <c r="S222" i="38"/>
  <c r="S269" i="38"/>
  <c r="S19" i="38"/>
  <c r="S278" i="38"/>
  <c r="S228" i="38"/>
  <c r="S144" i="38"/>
  <c r="S309" i="38"/>
  <c r="S49" i="38"/>
  <c r="S216" i="38"/>
  <c r="S123" i="38"/>
  <c r="S34" i="38"/>
  <c r="S272" i="38"/>
  <c r="S129" i="38"/>
  <c r="S25" i="38"/>
  <c r="S65" i="38"/>
  <c r="S89" i="38"/>
  <c r="S207" i="38"/>
  <c r="S138" i="38"/>
  <c r="S61" i="38"/>
  <c r="S16" i="38"/>
  <c r="S111" i="38"/>
  <c r="S22" i="38"/>
  <c r="S210" i="38"/>
  <c r="S281" i="38"/>
  <c r="S180" i="38"/>
  <c r="S95" i="38"/>
  <c r="S266" i="38"/>
  <c r="S201" i="38"/>
  <c r="S284" i="38"/>
  <c r="S74" i="38"/>
  <c r="S156" i="38"/>
  <c r="S192" i="38"/>
  <c r="S168" i="38"/>
  <c r="S40" i="38"/>
  <c r="S219" i="38"/>
  <c r="S275" i="38"/>
  <c r="S98" i="38"/>
  <c r="S92" i="38"/>
  <c r="S28" i="38"/>
  <c r="S147" i="38"/>
  <c r="S4" i="38"/>
  <c r="S52" i="38"/>
  <c r="S225" i="38"/>
  <c r="S120" i="38"/>
  <c r="S198" i="38"/>
  <c r="S165" i="38"/>
  <c r="S231" i="38"/>
  <c r="S126" i="38"/>
  <c r="S244" i="38"/>
  <c r="S247" i="38"/>
  <c r="S250" i="38"/>
  <c r="S253" i="38"/>
  <c r="S83" i="38"/>
  <c r="S174" i="38"/>
  <c r="S7" i="38"/>
  <c r="S189" i="38"/>
  <c r="S204" i="38"/>
  <c r="S150" i="38"/>
  <c r="S235" i="38"/>
  <c r="S46" i="38"/>
  <c r="S195" i="38"/>
  <c r="S31" i="38"/>
  <c r="S58" i="38"/>
  <c r="S294" i="38"/>
  <c r="S213" i="38"/>
  <c r="S183" i="38"/>
  <c r="S186" i="38"/>
  <c r="Q255" i="38"/>
  <c r="E259" i="38"/>
  <c r="E261" i="38" l="1"/>
  <c r="E318" i="38"/>
  <c r="E262" i="38"/>
  <c r="E263" i="38" s="1"/>
  <c r="E321" i="38" l="1"/>
  <c r="E322" i="38" s="1"/>
  <c r="E320" i="38"/>
  <c r="Q256" i="38"/>
  <c r="F259" i="38"/>
  <c r="F318" i="38" l="1"/>
  <c r="F261" i="38"/>
  <c r="F262" i="38"/>
  <c r="F263" i="38" s="1"/>
  <c r="S256" i="38"/>
  <c r="R255" i="38"/>
  <c r="Q259" i="38"/>
  <c r="Q262" i="38" l="1"/>
  <c r="Q263" i="38" s="1"/>
  <c r="Q261" i="38"/>
  <c r="R259" i="38"/>
  <c r="Q318" i="38"/>
  <c r="D13" i="40"/>
  <c r="O13" i="40" s="1"/>
  <c r="F321" i="38"/>
  <c r="F322" i="38" s="1"/>
  <c r="F320" i="38"/>
  <c r="Q320" i="38" l="1"/>
  <c r="R318" i="38"/>
  <c r="S319" i="38"/>
  <c r="Q321" i="38"/>
  <c r="Q322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charset val="1"/>
          </rPr>
          <t>3 Drop Ship Orders - 460k
900k output from HQ very close to our average of 850k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J188" authorId="0" shapeId="0" xr:uid="{FF96CD6F-2A30-44F4-B9BB-E503F5DA3B2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was 170773.75 when codey ran now it is 150327.60 on 23 jan</t>
        </r>
      </text>
    </comment>
    <comment ref="H255" authorId="0" shapeId="0" xr:uid="{8E760A68-F20C-477E-B358-5E25AD42EDFF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I255" authorId="0" shapeId="0" xr:uid="{2BFE9190-E814-4936-A2B1-4C7BF202271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J255" authorId="0" shapeId="0" xr:uid="{7F6885C8-3ECB-45F6-994C-18B05AB3B506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</commentList>
</comments>
</file>

<file path=xl/sharedStrings.xml><?xml version="1.0" encoding="utf-8"?>
<sst xmlns="http://schemas.openxmlformats.org/spreadsheetml/2006/main" count="658" uniqueCount="139">
  <si>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</si>
  <si>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</si>
  <si>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</si>
  <si>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</si>
  <si>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</si>
  <si>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</si>
  <si>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</si>
  <si>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</si>
  <si>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</si>
  <si>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</si>
  <si>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</si>
  <si>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</si>
  <si>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</si>
  <si>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</si>
  <si>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</si>
  <si>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GPM%</t>
  </si>
  <si>
    <t>Aus Nursing Home (NHF)</t>
  </si>
  <si>
    <t>AUSTRALIAN MILITARY BANK</t>
  </si>
  <si>
    <t>CORNERSTONE HEALTH</t>
  </si>
  <si>
    <t>DOOLEYS LIDCOMBE CATHOLIC CLUB</t>
  </si>
  <si>
    <t>Edge Early Learning</t>
  </si>
  <si>
    <t>EG Group</t>
  </si>
  <si>
    <t>Hall &amp; Prior</t>
  </si>
  <si>
    <t>HARDI AGED CARE (HAC)</t>
  </si>
  <si>
    <t>MYCAR</t>
  </si>
  <si>
    <t>SYDNEY CRICKET &amp; SPORTS GRD TR</t>
  </si>
  <si>
    <t>The Whiddon Group</t>
  </si>
  <si>
    <t>WOOLWORTHS - METRO</t>
  </si>
  <si>
    <t>Fantastic Furniture</t>
  </si>
  <si>
    <t>Canterbury Leagues</t>
  </si>
  <si>
    <t>C-General</t>
  </si>
  <si>
    <t>General-Ann</t>
  </si>
  <si>
    <t>New</t>
  </si>
  <si>
    <t>.</t>
  </si>
  <si>
    <t>Adrian</t>
  </si>
  <si>
    <t>Toyota Dealerships</t>
  </si>
  <si>
    <t>Bag Trans</t>
  </si>
  <si>
    <t>LUXOL</t>
  </si>
  <si>
    <t>HONDA AUSTRALIA</t>
  </si>
  <si>
    <t>Tasman Logistics</t>
  </si>
  <si>
    <t>Anytime Fitness</t>
  </si>
  <si>
    <t>APIAM</t>
  </si>
  <si>
    <t>Bureau of Meteorology</t>
  </si>
  <si>
    <t>CVGT</t>
  </si>
  <si>
    <t>Ford</t>
  </si>
  <si>
    <t>General Electric</t>
  </si>
  <si>
    <t>MORNIGTON PENINSULA</t>
  </si>
  <si>
    <t>PRESTIGE INHOME CARE</t>
  </si>
  <si>
    <t>RACV</t>
  </si>
  <si>
    <t>TLC</t>
  </si>
  <si>
    <t>VIC</t>
  </si>
  <si>
    <t>David</t>
  </si>
  <si>
    <t>CENTRAL COAST LEAGUES CLUB</t>
  </si>
  <si>
    <t>Transport Heritage</t>
  </si>
  <si>
    <t>HYMIX CONCRETE</t>
  </si>
  <si>
    <t>HI-QUALITY</t>
  </si>
  <si>
    <t>Jeld-Wen Group</t>
  </si>
  <si>
    <t>SMARTWAYS</t>
  </si>
  <si>
    <t>ONSITE RENTAL GROUP</t>
  </si>
  <si>
    <t>Parra Leagues Club</t>
  </si>
  <si>
    <t>Pedders Suspension</t>
  </si>
  <si>
    <t>Pickles</t>
  </si>
  <si>
    <t>REVESBY WORKER CLUB</t>
  </si>
  <si>
    <t>ROADMASTER</t>
  </si>
  <si>
    <t>RICOH</t>
  </si>
  <si>
    <t>St Marys Leagues</t>
  </si>
  <si>
    <t>TNA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</si>
  <si>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</si>
  <si>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</si>
  <si>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</si>
  <si>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</si>
  <si>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</si>
  <si>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</si>
  <si>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</si>
  <si>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</si>
  <si>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</si>
  <si>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</si>
  <si>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</si>
  <si>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</si>
  <si>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</si>
  <si>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UTS Health</t>
  </si>
  <si>
    <t>RAINE &amp; HORNE - AUSTRALIA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</si>
  <si>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</si>
  <si>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</si>
  <si>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</si>
  <si>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</si>
  <si>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</si>
  <si>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</si>
  <si>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</si>
  <si>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</si>
  <si>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</si>
  <si>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</si>
  <si>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</si>
  <si>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</si>
  <si>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</si>
  <si>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AVEO</t>
  </si>
  <si>
    <t>BENETAS</t>
  </si>
  <si>
    <t xml:space="preserve">Memorial Parks </t>
  </si>
  <si>
    <t>Park Hyatt</t>
  </si>
  <si>
    <t>Heidelberg Materials</t>
  </si>
  <si>
    <t xml:space="preserve">DEICORP 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</si>
  <si>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</si>
  <si>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</si>
  <si>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</si>
  <si>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</si>
  <si>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</si>
  <si>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</si>
  <si>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</si>
  <si>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</si>
  <si>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</si>
  <si>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</si>
  <si>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</si>
  <si>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</si>
  <si>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</si>
  <si>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</si>
  <si>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</si>
  <si>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</si>
  <si>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</si>
  <si>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</si>
  <si>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</si>
  <si>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</si>
  <si>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</si>
  <si>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</si>
  <si>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</si>
  <si>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</si>
  <si>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MERCY COMMUNITY CARE</t>
  </si>
  <si>
    <t>General-Michele</t>
  </si>
  <si>
    <t>General-Adrian</t>
  </si>
  <si>
    <t>SSP Australia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</si>
  <si>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</si>
  <si>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</si>
  <si>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</si>
  <si>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</si>
  <si>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</si>
  <si>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</si>
  <si>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</si>
  <si>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</si>
  <si>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 xml:space="preserve">TIG Weekly Financial Snapshot as of the 4th of August 2025 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</si>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</sst>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0.000"/>
    <numFmt numFmtId="169" formatCode="&quot;$&quot;#,##0.00"/>
    <numFmt numFmtId="170" formatCode="_-&quot;$&quot;* #,##0_-;\-&quot;$&quot;* #,##0_-;_-&quot;$&quot;* &quot;-&quot;??_-;_-@_-"/>
    <numFmt numFmtId="171" formatCode="0.00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b/>
      <sz val="12"/>
      <color theme="9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/>
      <bottom style="medium">
        <color auto="1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4" tint="0.3999450666829432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33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5" xfId="0" applyNumberFormat="1" applyFont="1" applyFill="1" applyBorder="1" applyAlignment="1">
      <alignment vertical="center"/>
    </xf>
    <xf numFmtId="0" fontId="8" fillId="4" borderId="2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2" xfId="2" applyNumberFormat="1" applyFont="1" applyBorder="1" applyAlignment="1">
      <alignment horizontal="center" vertical="top"/>
    </xf>
    <xf numFmtId="3" fontId="6" fillId="0" borderId="32" xfId="0" applyNumberFormat="1" applyFont="1" applyBorder="1"/>
    <xf numFmtId="3" fontId="6" fillId="0" borderId="32" xfId="0" applyNumberFormat="1" applyFont="1" applyBorder="1" applyAlignment="1">
      <alignment horizontal="right"/>
    </xf>
    <xf numFmtId="165" fontId="6" fillId="0" borderId="32" xfId="0" applyNumberFormat="1" applyFont="1" applyBorder="1" applyAlignment="1">
      <alignment horizontal="right"/>
    </xf>
    <xf numFmtId="49" fontId="7" fillId="0" borderId="33" xfId="2" applyNumberFormat="1" applyFont="1" applyBorder="1" applyAlignment="1">
      <alignment horizontal="center" vertical="top"/>
    </xf>
    <xf numFmtId="165" fontId="7" fillId="2" borderId="33" xfId="0" applyNumberFormat="1" applyFont="1" applyFill="1" applyBorder="1" applyAlignment="1">
      <alignment horizontal="right"/>
    </xf>
    <xf numFmtId="166" fontId="2" fillId="5" borderId="36" xfId="0" applyNumberFormat="1" applyFont="1" applyFill="1" applyBorder="1" applyAlignment="1">
      <alignment vertical="center"/>
    </xf>
    <xf numFmtId="49" fontId="6" fillId="0" borderId="33" xfId="2" applyNumberFormat="1" applyFont="1" applyBorder="1" applyAlignment="1">
      <alignment horizontal="center" vertical="top"/>
    </xf>
    <xf numFmtId="165" fontId="6" fillId="0" borderId="33" xfId="0" applyNumberFormat="1" applyFont="1" applyBorder="1" applyAlignment="1">
      <alignment horizontal="right"/>
    </xf>
    <xf numFmtId="0" fontId="8" fillId="4" borderId="37" xfId="0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165" fontId="7" fillId="2" borderId="33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2" xfId="0" applyNumberFormat="1" applyFont="1" applyBorder="1"/>
    <xf numFmtId="164" fontId="6" fillId="0" borderId="33" xfId="0" applyNumberFormat="1" applyFont="1" applyBorder="1"/>
    <xf numFmtId="164" fontId="7" fillId="0" borderId="33" xfId="0" applyNumberFormat="1" applyFont="1" applyBorder="1"/>
    <xf numFmtId="165" fontId="6" fillId="0" borderId="33" xfId="0" applyNumberFormat="1" applyFont="1" applyBorder="1"/>
    <xf numFmtId="165" fontId="6" fillId="0" borderId="39" xfId="0" applyNumberFormat="1" applyFont="1" applyBorder="1"/>
    <xf numFmtId="165" fontId="7" fillId="2" borderId="39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5" xfId="0" applyNumberFormat="1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0" fontId="8" fillId="4" borderId="41" xfId="0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164" fontId="7" fillId="2" borderId="33" xfId="0" applyNumberFormat="1" applyFont="1" applyFill="1" applyBorder="1"/>
    <xf numFmtId="49" fontId="14" fillId="0" borderId="34" xfId="2" applyNumberFormat="1" applyFont="1" applyBorder="1" applyAlignment="1">
      <alignment horizontal="center" vertical="top"/>
    </xf>
    <xf numFmtId="10" fontId="14" fillId="6" borderId="34" xfId="0" applyNumberFormat="1" applyFont="1" applyFill="1" applyBorder="1" applyAlignment="1">
      <alignment horizontal="right"/>
    </xf>
    <xf numFmtId="10" fontId="14" fillId="6" borderId="34" xfId="0" applyNumberFormat="1" applyFont="1" applyFill="1" applyBorder="1"/>
    <xf numFmtId="49" fontId="14" fillId="0" borderId="35" xfId="2" applyNumberFormat="1" applyFont="1" applyBorder="1" applyAlignment="1">
      <alignment horizontal="center" vertical="top"/>
    </xf>
    <xf numFmtId="3" fontId="7" fillId="2" borderId="33" xfId="0" applyNumberFormat="1" applyFont="1" applyFill="1" applyBorder="1"/>
    <xf numFmtId="9" fontId="6" fillId="0" borderId="28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7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10" fontId="6" fillId="0" borderId="27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 wrapText="1"/>
    </xf>
    <xf numFmtId="10" fontId="14" fillId="6" borderId="35" xfId="0" applyNumberFormat="1" applyFont="1" applyFill="1" applyBorder="1"/>
    <xf numFmtId="165" fontId="7" fillId="2" borderId="35" xfId="0" applyNumberFormat="1" applyFont="1" applyFill="1" applyBorder="1"/>
    <xf numFmtId="164" fontId="7" fillId="0" borderId="35" xfId="0" applyNumberFormat="1" applyFont="1" applyBorder="1"/>
    <xf numFmtId="165" fontId="6" fillId="0" borderId="32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7" borderId="32" xfId="0" applyNumberFormat="1" applyFont="1" applyFill="1" applyBorder="1" applyAlignment="1">
      <alignment horizontal="right"/>
    </xf>
    <xf numFmtId="0" fontId="6" fillId="0" borderId="26" xfId="0" applyFont="1" applyBorder="1" applyAlignment="1">
      <alignment horizontal="center" vertical="center"/>
    </xf>
    <xf numFmtId="165" fontId="6" fillId="7" borderId="33" xfId="0" applyNumberFormat="1" applyFont="1" applyFill="1" applyBorder="1"/>
    <xf numFmtId="3" fontId="6" fillId="7" borderId="32" xfId="0" applyNumberFormat="1" applyFont="1" applyFill="1" applyBorder="1"/>
    <xf numFmtId="3" fontId="6" fillId="7" borderId="32" xfId="0" applyNumberFormat="1" applyFont="1" applyFill="1" applyBorder="1" applyAlignment="1">
      <alignment horizontal="right"/>
    </xf>
    <xf numFmtId="3" fontId="6" fillId="8" borderId="32" xfId="0" applyNumberFormat="1" applyFont="1" applyFill="1" applyBorder="1"/>
    <xf numFmtId="9" fontId="2" fillId="9" borderId="0" xfId="0" applyNumberFormat="1" applyFont="1" applyFill="1" applyAlignment="1">
      <alignment horizontal="center" vertical="center"/>
    </xf>
    <xf numFmtId="165" fontId="6" fillId="10" borderId="32" xfId="0" applyNumberFormat="1" applyFont="1" applyFill="1" applyBorder="1" applyAlignment="1">
      <alignment horizontal="right"/>
    </xf>
    <xf numFmtId="9" fontId="6" fillId="0" borderId="27" xfId="0" applyNumberFormat="1" applyFont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5" fontId="6" fillId="2" borderId="33" xfId="0" applyNumberFormat="1" applyFont="1" applyFill="1" applyBorder="1"/>
    <xf numFmtId="166" fontId="10" fillId="0" borderId="0" xfId="0" applyNumberFormat="1" applyFont="1"/>
    <xf numFmtId="3" fontId="7" fillId="0" borderId="32" xfId="0" applyNumberFormat="1" applyFont="1" applyBorder="1" applyAlignment="1">
      <alignment horizontal="right"/>
    </xf>
    <xf numFmtId="3" fontId="6" fillId="0" borderId="32" xfId="0" applyNumberFormat="1" applyFont="1" applyBorder="1" applyAlignment="1">
      <alignment horizontal="right" vertical="top"/>
    </xf>
    <xf numFmtId="165" fontId="6" fillId="0" borderId="32" xfId="0" applyNumberFormat="1" applyFont="1" applyBorder="1" applyAlignment="1">
      <alignment horizontal="right" vertical="top"/>
    </xf>
    <xf numFmtId="0" fontId="4" fillId="0" borderId="58" xfId="0" applyFont="1" applyBorder="1"/>
    <xf numFmtId="165" fontId="6" fillId="0" borderId="59" xfId="0" applyNumberFormat="1" applyFont="1" applyBorder="1" applyAlignment="1">
      <alignment horizontal="right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8" fontId="10" fillId="0" borderId="0" xfId="0" applyNumberFormat="1" applyFont="1"/>
    <xf numFmtId="165" fontId="10" fillId="0" borderId="0" xfId="0" applyNumberFormat="1" applyFont="1"/>
    <xf numFmtId="49" fontId="7" fillId="0" borderId="39" xfId="2" applyNumberFormat="1" applyFont="1" applyBorder="1" applyAlignment="1">
      <alignment horizontal="center" vertical="top"/>
    </xf>
    <xf numFmtId="49" fontId="14" fillId="0" borderId="60" xfId="2" applyNumberFormat="1" applyFont="1" applyBorder="1" applyAlignment="1">
      <alignment horizontal="center" vertical="top"/>
    </xf>
    <xf numFmtId="49" fontId="6" fillId="0" borderId="59" xfId="2" applyNumberFormat="1" applyFont="1" applyBorder="1" applyAlignment="1">
      <alignment horizontal="center" vertical="top"/>
    </xf>
    <xf numFmtId="169" fontId="10" fillId="0" borderId="0" xfId="0" applyNumberFormat="1" applyFont="1"/>
    <xf numFmtId="165" fontId="7" fillId="11" borderId="33" xfId="0" applyNumberFormat="1" applyFont="1" applyFill="1" applyBorder="1" applyAlignment="1">
      <alignment horizontal="right"/>
    </xf>
    <xf numFmtId="164" fontId="7" fillId="11" borderId="35" xfId="0" applyNumberFormat="1" applyFont="1" applyFill="1" applyBorder="1"/>
    <xf numFmtId="164" fontId="7" fillId="11" borderId="33" xfId="0" applyNumberFormat="1" applyFont="1" applyFill="1" applyBorder="1"/>
    <xf numFmtId="3" fontId="6" fillId="11" borderId="32" xfId="0" applyNumberFormat="1" applyFont="1" applyFill="1" applyBorder="1"/>
    <xf numFmtId="165" fontId="6" fillId="11" borderId="32" xfId="0" applyNumberFormat="1" applyFont="1" applyFill="1" applyBorder="1" applyAlignment="1">
      <alignment horizontal="right"/>
    </xf>
    <xf numFmtId="165" fontId="6" fillId="11" borderId="32" xfId="0" applyNumberFormat="1" applyFont="1" applyFill="1" applyBorder="1"/>
    <xf numFmtId="165" fontId="7" fillId="11" borderId="33" xfId="0" applyNumberFormat="1" applyFont="1" applyFill="1" applyBorder="1"/>
    <xf numFmtId="165" fontId="7" fillId="0" borderId="33" xfId="0" applyNumberFormat="1" applyFont="1" applyBorder="1"/>
    <xf numFmtId="166" fontId="7" fillId="0" borderId="33" xfId="0" applyNumberFormat="1" applyFont="1" applyBorder="1"/>
    <xf numFmtId="0" fontId="18" fillId="0" borderId="0" xfId="0" applyFont="1"/>
    <xf numFmtId="0" fontId="20" fillId="12" borderId="63" xfId="0" applyFont="1" applyFill="1" applyBorder="1" applyAlignment="1">
      <alignment wrapText="1"/>
    </xf>
    <xf numFmtId="0" fontId="17" fillId="0" borderId="0" xfId="0" applyFont="1"/>
    <xf numFmtId="0" fontId="17" fillId="14" borderId="67" xfId="0" applyFont="1" applyFill="1" applyBorder="1"/>
    <xf numFmtId="0" fontId="22" fillId="0" borderId="0" xfId="0" applyFont="1"/>
    <xf numFmtId="0" fontId="24" fillId="0" borderId="0" xfId="0" applyFont="1"/>
    <xf numFmtId="44" fontId="18" fillId="16" borderId="66" xfId="0" applyNumberFormat="1" applyFont="1" applyFill="1" applyBorder="1"/>
    <xf numFmtId="44" fontId="11" fillId="0" borderId="0" xfId="0" applyNumberFormat="1" applyFont="1"/>
    <xf numFmtId="44" fontId="24" fillId="0" borderId="0" xfId="0" applyNumberFormat="1" applyFont="1"/>
    <xf numFmtId="2" fontId="11" fillId="0" borderId="0" xfId="0" applyNumberFormat="1" applyFont="1"/>
    <xf numFmtId="2" fontId="24" fillId="0" borderId="0" xfId="0" applyNumberFormat="1" applyFont="1"/>
    <xf numFmtId="9" fontId="21" fillId="0" borderId="75" xfId="1" applyFont="1" applyFill="1" applyBorder="1" applyAlignment="1" applyProtection="1">
      <alignment horizontal="center"/>
    </xf>
    <xf numFmtId="3" fontId="21" fillId="11" borderId="75" xfId="0" applyNumberFormat="1" applyFont="1" applyFill="1" applyBorder="1" applyAlignment="1">
      <alignment horizontal="center"/>
    </xf>
    <xf numFmtId="3" fontId="21" fillId="11" borderId="76" xfId="0" applyNumberFormat="1" applyFont="1" applyFill="1" applyBorder="1" applyAlignment="1">
      <alignment horizontal="center"/>
    </xf>
    <xf numFmtId="9" fontId="11" fillId="0" borderId="77" xfId="1" applyFont="1" applyFill="1" applyBorder="1" applyAlignment="1" applyProtection="1">
      <alignment horizontal="center" vertical="center"/>
    </xf>
    <xf numFmtId="9" fontId="11" fillId="0" borderId="78" xfId="1" applyFont="1" applyFill="1" applyBorder="1" applyAlignment="1" applyProtection="1">
      <alignment horizontal="center" vertical="center"/>
    </xf>
    <xf numFmtId="1" fontId="13" fillId="0" borderId="67" xfId="0" applyNumberFormat="1" applyFont="1" applyBorder="1"/>
    <xf numFmtId="1" fontId="18" fillId="0" borderId="67" xfId="0" applyNumberFormat="1" applyFont="1" applyBorder="1"/>
    <xf numFmtId="1" fontId="13" fillId="0" borderId="74" xfId="0" applyNumberFormat="1" applyFont="1" applyBorder="1"/>
    <xf numFmtId="170" fontId="18" fillId="16" borderId="66" xfId="0" applyNumberFormat="1" applyFont="1" applyFill="1" applyBorder="1"/>
    <xf numFmtId="170" fontId="18" fillId="16" borderId="67" xfId="0" applyNumberFormat="1" applyFont="1" applyFill="1" applyBorder="1"/>
    <xf numFmtId="44" fontId="18" fillId="16" borderId="64" xfId="0" applyNumberFormat="1" applyFont="1" applyFill="1" applyBorder="1"/>
    <xf numFmtId="1" fontId="13" fillId="0" borderId="72" xfId="0" applyNumberFormat="1" applyFont="1" applyBorder="1"/>
    <xf numFmtId="170" fontId="18" fillId="16" borderId="72" xfId="0" applyNumberFormat="1" applyFont="1" applyFill="1" applyBorder="1"/>
    <xf numFmtId="1" fontId="18" fillId="0" borderId="73" xfId="0" applyNumberFormat="1" applyFont="1" applyBorder="1"/>
    <xf numFmtId="170" fontId="18" fillId="16" borderId="64" xfId="0" applyNumberFormat="1" applyFont="1" applyFill="1" applyBorder="1"/>
    <xf numFmtId="1" fontId="13" fillId="0" borderId="73" xfId="0" applyNumberFormat="1" applyFont="1" applyBorder="1"/>
    <xf numFmtId="170" fontId="17" fillId="16" borderId="64" xfId="0" applyNumberFormat="1" applyFont="1" applyFill="1" applyBorder="1"/>
    <xf numFmtId="170" fontId="17" fillId="16" borderId="72" xfId="0" applyNumberFormat="1" applyFont="1" applyFill="1" applyBorder="1"/>
    <xf numFmtId="170" fontId="17" fillId="16" borderId="73" xfId="0" applyNumberFormat="1" applyFont="1" applyFill="1" applyBorder="1"/>
    <xf numFmtId="17" fontId="20" fillId="13" borderId="62" xfId="0" applyNumberFormat="1" applyFont="1" applyFill="1" applyBorder="1"/>
    <xf numFmtId="0" fontId="11" fillId="0" borderId="0" xfId="0" applyFont="1"/>
    <xf numFmtId="1" fontId="17" fillId="0" borderId="0" xfId="0" applyNumberFormat="1" applyFont="1"/>
    <xf numFmtId="1" fontId="0" fillId="0" borderId="0" xfId="0" applyNumberFormat="1"/>
    <xf numFmtId="170" fontId="7" fillId="2" borderId="79" xfId="0" applyNumberFormat="1" applyFont="1" applyFill="1" applyBorder="1" applyAlignment="1">
      <alignment horizontal="center" vertical="center"/>
    </xf>
    <xf numFmtId="170" fontId="7" fillId="2" borderId="82" xfId="0" applyNumberFormat="1" applyFont="1" applyFill="1" applyBorder="1" applyAlignment="1">
      <alignment horizontal="center" vertical="center"/>
    </xf>
    <xf numFmtId="170" fontId="21" fillId="11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70" fontId="6" fillId="7" borderId="29" xfId="1" applyNumberFormat="1" applyFont="1" applyFill="1" applyBorder="1" applyAlignment="1" applyProtection="1">
      <alignment horizontal="center"/>
    </xf>
    <xf numFmtId="10" fontId="7" fillId="2" borderId="31" xfId="1" applyNumberFormat="1" applyFont="1" applyFill="1" applyBorder="1" applyAlignment="1" applyProtection="1">
      <alignment horizontal="center"/>
    </xf>
    <xf numFmtId="10" fontId="7" fillId="2" borderId="31" xfId="1" applyNumberFormat="1" applyFont="1" applyFill="1" applyBorder="1" applyAlignment="1" applyProtection="1">
      <alignment horizontal="center" vertical="center"/>
    </xf>
    <xf numFmtId="170" fontId="6" fillId="7" borderId="85" xfId="1" applyNumberFormat="1" applyFont="1" applyFill="1" applyBorder="1" applyAlignment="1" applyProtection="1">
      <alignment horizontal="center"/>
    </xf>
    <xf numFmtId="10" fontId="7" fillId="2" borderId="86" xfId="1" applyNumberFormat="1" applyFont="1" applyFill="1" applyBorder="1" applyAlignment="1" applyProtection="1">
      <alignment horizontal="center"/>
    </xf>
    <xf numFmtId="170" fontId="6" fillId="7" borderId="85" xfId="0" applyNumberFormat="1" applyFont="1" applyFill="1" applyBorder="1" applyAlignment="1">
      <alignment horizontal="center"/>
    </xf>
    <xf numFmtId="10" fontId="7" fillId="2" borderId="86" xfId="0" applyNumberFormat="1" applyFont="1" applyFill="1" applyBorder="1" applyAlignment="1">
      <alignment horizontal="center"/>
    </xf>
    <xf numFmtId="10" fontId="7" fillId="2" borderId="86" xfId="1" applyNumberFormat="1" applyFont="1" applyFill="1" applyBorder="1" applyAlignment="1" applyProtection="1">
      <alignment horizontal="center" vertical="center"/>
    </xf>
    <xf numFmtId="170" fontId="6" fillId="7" borderId="85" xfId="1" applyNumberFormat="1" applyFont="1" applyFill="1" applyBorder="1" applyAlignment="1" applyProtection="1">
      <alignment horizontal="center" vertical="center"/>
    </xf>
    <xf numFmtId="170" fontId="6" fillId="7" borderId="85" xfId="0" applyNumberFormat="1" applyFont="1" applyFill="1" applyBorder="1" applyAlignment="1">
      <alignment horizontal="center" vertical="center"/>
    </xf>
    <xf numFmtId="10" fontId="7" fillId="2" borderId="86" xfId="0" applyNumberFormat="1" applyFont="1" applyFill="1" applyBorder="1" applyAlignment="1">
      <alignment horizontal="center" vertical="center"/>
    </xf>
    <xf numFmtId="0" fontId="17" fillId="16" borderId="66" xfId="0" applyFont="1" applyFill="1" applyBorder="1" applyAlignment="1">
      <alignment horizontal="left" vertical="center"/>
    </xf>
    <xf numFmtId="0" fontId="23" fillId="0" borderId="67" xfId="0" applyFont="1" applyBorder="1" applyAlignment="1">
      <alignment horizontal="left" vertical="center"/>
    </xf>
    <xf numFmtId="0" fontId="17" fillId="16" borderId="67" xfId="0" applyFont="1" applyFill="1" applyBorder="1" applyAlignment="1">
      <alignment horizontal="left" vertical="center"/>
    </xf>
    <xf numFmtId="0" fontId="6" fillId="0" borderId="67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/>
    </xf>
    <xf numFmtId="0" fontId="6" fillId="0" borderId="74" xfId="0" applyFont="1" applyBorder="1" applyAlignment="1">
      <alignment horizontal="left" vertical="center"/>
    </xf>
    <xf numFmtId="0" fontId="6" fillId="19" borderId="67" xfId="0" applyFont="1" applyFill="1" applyBorder="1" applyAlignment="1">
      <alignment horizontal="left" vertical="center"/>
    </xf>
    <xf numFmtId="170" fontId="6" fillId="19" borderId="67" xfId="0" applyNumberFormat="1" applyFont="1" applyFill="1" applyBorder="1" applyAlignment="1">
      <alignment horizontal="right" vertical="center"/>
    </xf>
    <xf numFmtId="170" fontId="17" fillId="19" borderId="64" xfId="0" applyNumberFormat="1" applyFont="1" applyFill="1" applyBorder="1"/>
    <xf numFmtId="0" fontId="6" fillId="19" borderId="74" xfId="0" applyFont="1" applyFill="1" applyBorder="1" applyAlignment="1">
      <alignment horizontal="left" vertical="center"/>
    </xf>
    <xf numFmtId="1" fontId="17" fillId="19" borderId="74" xfId="0" applyNumberFormat="1" applyFont="1" applyFill="1" applyBorder="1" applyAlignment="1">
      <alignment horizontal="right" vertical="center"/>
    </xf>
    <xf numFmtId="170" fontId="17" fillId="19" borderId="73" xfId="0" applyNumberFormat="1" applyFont="1" applyFill="1" applyBorder="1"/>
    <xf numFmtId="171" fontId="21" fillId="0" borderId="76" xfId="1" applyNumberFormat="1" applyFont="1" applyFill="1" applyBorder="1" applyAlignment="1" applyProtection="1">
      <alignment horizontal="center"/>
    </xf>
    <xf numFmtId="170" fontId="17" fillId="17" borderId="69" xfId="0" applyNumberFormat="1" applyFont="1" applyFill="1" applyBorder="1" applyAlignment="1">
      <alignment horizontal="center" vertical="center"/>
    </xf>
    <xf numFmtId="170" fontId="17" fillId="17" borderId="29" xfId="0" applyNumberFormat="1" applyFont="1" applyFill="1" applyBorder="1" applyAlignment="1">
      <alignment horizontal="center" vertical="center"/>
    </xf>
    <xf numFmtId="170" fontId="17" fillId="0" borderId="69" xfId="0" applyNumberFormat="1" applyFont="1" applyBorder="1" applyAlignment="1">
      <alignment horizontal="center" vertical="center"/>
    </xf>
    <xf numFmtId="170" fontId="17" fillId="0" borderId="29" xfId="0" applyNumberFormat="1" applyFont="1" applyBorder="1" applyAlignment="1">
      <alignment horizontal="center" vertical="center"/>
    </xf>
    <xf numFmtId="170" fontId="18" fillId="24" borderId="66" xfId="0" applyNumberFormat="1" applyFont="1" applyFill="1" applyBorder="1"/>
    <xf numFmtId="1" fontId="13" fillId="17" borderId="67" xfId="0" applyNumberFormat="1" applyFont="1" applyFill="1" applyBorder="1"/>
    <xf numFmtId="0" fontId="17" fillId="14" borderId="67" xfId="0" applyFont="1" applyFill="1" applyBorder="1" applyAlignment="1">
      <alignment horizontal="center" vertical="center"/>
    </xf>
    <xf numFmtId="0" fontId="17" fillId="14" borderId="67" xfId="0" applyFont="1" applyFill="1" applyBorder="1" applyAlignment="1">
      <alignment horizontal="center"/>
    </xf>
    <xf numFmtId="170" fontId="17" fillId="25" borderId="69" xfId="0" applyNumberFormat="1" applyFont="1" applyFill="1" applyBorder="1" applyAlignment="1">
      <alignment horizontal="center" vertical="center"/>
    </xf>
    <xf numFmtId="170" fontId="17" fillId="26" borderId="69" xfId="0" applyNumberFormat="1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2" borderId="61" xfId="0" applyFont="1" applyFill="1" applyBorder="1" applyAlignment="1">
      <alignment wrapText="1"/>
    </xf>
    <xf numFmtId="0" fontId="20" fillId="12" borderId="62" xfId="0" applyFont="1" applyFill="1" applyBorder="1" applyAlignment="1">
      <alignment wrapText="1"/>
    </xf>
    <xf numFmtId="0" fontId="17" fillId="14" borderId="65" xfId="0" applyFont="1" applyFill="1" applyBorder="1"/>
    <xf numFmtId="0" fontId="17" fillId="14" borderId="66" xfId="0" applyFont="1" applyFill="1" applyBorder="1"/>
    <xf numFmtId="0" fontId="17" fillId="17" borderId="68" xfId="0" applyFont="1" applyFill="1" applyBorder="1"/>
    <xf numFmtId="0" fontId="17" fillId="17" borderId="69" xfId="0" applyFont="1" applyFill="1" applyBorder="1"/>
    <xf numFmtId="1" fontId="11" fillId="15" borderId="68" xfId="0" applyNumberFormat="1" applyFont="1" applyFill="1" applyBorder="1"/>
    <xf numFmtId="1" fontId="11" fillId="15" borderId="81" xfId="0" applyNumberFormat="1" applyFont="1" applyFill="1" applyBorder="1"/>
    <xf numFmtId="0" fontId="6" fillId="23" borderId="64" xfId="0" applyFont="1" applyFill="1" applyBorder="1" applyAlignment="1">
      <alignment horizontal="center" vertical="center"/>
    </xf>
    <xf numFmtId="0" fontId="6" fillId="23" borderId="72" xfId="0" applyFont="1" applyFill="1" applyBorder="1" applyAlignment="1">
      <alignment horizontal="center" vertical="center"/>
    </xf>
    <xf numFmtId="0" fontId="11" fillId="21" borderId="83" xfId="0" applyFont="1" applyFill="1" applyBorder="1" applyAlignment="1">
      <alignment horizontal="left" vertical="center"/>
    </xf>
    <xf numFmtId="0" fontId="11" fillId="21" borderId="84" xfId="0" applyFont="1" applyFill="1" applyBorder="1" applyAlignment="1">
      <alignment horizontal="left" vertical="center"/>
    </xf>
    <xf numFmtId="0" fontId="11" fillId="21" borderId="71" xfId="0" applyFont="1" applyFill="1" applyBorder="1" applyAlignment="1">
      <alignment horizontal="left" vertical="center"/>
    </xf>
    <xf numFmtId="0" fontId="11" fillId="21" borderId="80" xfId="0" applyFont="1" applyFill="1" applyBorder="1" applyAlignment="1">
      <alignment horizontal="left" vertical="center"/>
    </xf>
    <xf numFmtId="0" fontId="11" fillId="22" borderId="83" xfId="0" applyFont="1" applyFill="1" applyBorder="1" applyAlignment="1">
      <alignment horizontal="left" vertical="center"/>
    </xf>
    <xf numFmtId="0" fontId="11" fillId="22" borderId="84" xfId="0" applyFont="1" applyFill="1" applyBorder="1" applyAlignment="1">
      <alignment horizontal="left" vertical="center"/>
    </xf>
    <xf numFmtId="0" fontId="11" fillId="22" borderId="71" xfId="0" applyFont="1" applyFill="1" applyBorder="1" applyAlignment="1">
      <alignment horizontal="left" vertical="center"/>
    </xf>
    <xf numFmtId="0" fontId="11" fillId="22" borderId="80" xfId="0" applyFont="1" applyFill="1" applyBorder="1" applyAlignment="1">
      <alignment horizontal="left" vertical="center"/>
    </xf>
    <xf numFmtId="0" fontId="11" fillId="18" borderId="83" xfId="0" applyFont="1" applyFill="1" applyBorder="1" applyAlignment="1">
      <alignment horizontal="left" vertical="center"/>
    </xf>
    <xf numFmtId="0" fontId="11" fillId="18" borderId="84" xfId="0" applyFont="1" applyFill="1" applyBorder="1" applyAlignment="1">
      <alignment horizontal="left" vertical="center"/>
    </xf>
    <xf numFmtId="0" fontId="11" fillId="18" borderId="71" xfId="0" applyFont="1" applyFill="1" applyBorder="1" applyAlignment="1">
      <alignment horizontal="left" vertical="center"/>
    </xf>
    <xf numFmtId="0" fontId="11" fillId="18" borderId="80" xfId="0" applyFont="1" applyFill="1" applyBorder="1" applyAlignment="1">
      <alignment horizontal="left" vertical="center"/>
    </xf>
    <xf numFmtId="0" fontId="6" fillId="19" borderId="64" xfId="0" applyFont="1" applyFill="1" applyBorder="1" applyAlignment="1">
      <alignment horizontal="center" vertical="center"/>
    </xf>
    <xf numFmtId="0" fontId="6" fillId="19" borderId="73" xfId="0" applyFont="1" applyFill="1" applyBorder="1" applyAlignment="1">
      <alignment horizontal="center" vertical="center"/>
    </xf>
    <xf numFmtId="0" fontId="11" fillId="0" borderId="70" xfId="0" applyFont="1" applyBorder="1"/>
    <xf numFmtId="0" fontId="11" fillId="0" borderId="0" xfId="0" applyFont="1"/>
    <xf numFmtId="0" fontId="11" fillId="15" borderId="70" xfId="0" applyFont="1" applyFill="1" applyBorder="1"/>
    <xf numFmtId="0" fontId="11" fillId="15" borderId="0" xfId="0" applyFont="1" applyFill="1"/>
    <xf numFmtId="0" fontId="11" fillId="0" borderId="71" xfId="0" applyFont="1" applyBorder="1"/>
    <xf numFmtId="0" fontId="11" fillId="0" borderId="80" xfId="0" applyFont="1" applyBorder="1"/>
    <xf numFmtId="0" fontId="17" fillId="20" borderId="64" xfId="0" applyFont="1" applyFill="1" applyBorder="1" applyAlignment="1">
      <alignment horizontal="center" vertical="center"/>
    </xf>
    <xf numFmtId="0" fontId="17" fillId="20" borderId="72" xfId="0" applyFont="1" applyFill="1" applyBorder="1" applyAlignment="1">
      <alignment horizontal="center" vertical="center"/>
    </xf>
    <xf numFmtId="0" fontId="17" fillId="22" borderId="64" xfId="0" applyFont="1" applyFill="1" applyBorder="1" applyAlignment="1">
      <alignment horizontal="center" vertical="center"/>
    </xf>
    <xf numFmtId="0" fontId="17" fillId="22" borderId="72" xfId="0" applyFont="1" applyFill="1" applyBorder="1" applyAlignment="1">
      <alignment horizontal="center" vertical="center"/>
    </xf>
    <xf numFmtId="0" fontId="17" fillId="22" borderId="73" xfId="0" applyFont="1" applyFill="1" applyBorder="1" applyAlignment="1">
      <alignment horizontal="center" vertical="center"/>
    </xf>
    <xf numFmtId="0" fontId="17" fillId="0" borderId="68" xfId="0" applyFont="1" applyBorder="1"/>
    <xf numFmtId="0" fontId="17" fillId="0" borderId="69" xfId="0" applyFont="1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9" fontId="6" fillId="0" borderId="29" xfId="0" applyNumberFormat="1" applyFont="1" applyBorder="1" applyAlignment="1">
      <alignment horizontal="center" vertical="center"/>
    </xf>
    <xf numFmtId="9" fontId="6" fillId="0" borderId="30" xfId="0" applyNumberFormat="1" applyFont="1" applyBorder="1" applyAlignment="1">
      <alignment horizontal="center" vertical="center"/>
    </xf>
    <xf numFmtId="9" fontId="6" fillId="0" borderId="31" xfId="0" applyNumberFormat="1" applyFont="1" applyBorder="1" applyAlignment="1">
      <alignment horizontal="center" vertical="center"/>
    </xf>
    <xf numFmtId="49" fontId="13" fillId="0" borderId="23" xfId="2" applyNumberFormat="1" applyFont="1" applyBorder="1" applyAlignment="1">
      <alignment horizontal="left" vertical="center"/>
    </xf>
    <xf numFmtId="49" fontId="13" fillId="0" borderId="24" xfId="2" applyNumberFormat="1" applyFont="1" applyBorder="1" applyAlignment="1">
      <alignment horizontal="left" vertical="center"/>
    </xf>
    <xf numFmtId="49" fontId="13" fillId="0" borderId="21" xfId="2" applyNumberFormat="1" applyFont="1" applyBorder="1" applyAlignment="1">
      <alignment horizontal="left" vertical="center"/>
    </xf>
    <xf numFmtId="0" fontId="2" fillId="4" borderId="54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49" fontId="13" fillId="0" borderId="26" xfId="2" applyNumberFormat="1" applyFont="1" applyBorder="1" applyAlignment="1">
      <alignment horizontal="left" vertical="center"/>
    </xf>
    <xf numFmtId="49" fontId="13" fillId="0" borderId="27" xfId="2" applyNumberFormat="1" applyFont="1" applyBorder="1" applyAlignment="1">
      <alignment horizontal="left" vertical="center"/>
    </xf>
    <xf numFmtId="49" fontId="13" fillId="0" borderId="28" xfId="2" applyNumberFormat="1" applyFont="1" applyBorder="1" applyAlignment="1">
      <alignment horizontal="left" vertical="center"/>
    </xf>
    <xf numFmtId="0" fontId="9" fillId="3" borderId="51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7" xfId="3" applyNumberFormat="1" applyFont="1" applyBorder="1" applyAlignment="1">
      <alignment horizontal="left" vertical="center"/>
    </xf>
    <xf numFmtId="49" fontId="13" fillId="0" borderId="28" xfId="3" applyNumberFormat="1" applyFont="1" applyBorder="1" applyAlignment="1">
      <alignment horizontal="left" vertical="center"/>
    </xf>
    <xf numFmtId="49" fontId="2" fillId="5" borderId="23" xfId="2" applyNumberFormat="1" applyFont="1" applyFill="1" applyBorder="1" applyAlignment="1">
      <alignment horizontal="center" vertical="center"/>
    </xf>
    <xf numFmtId="49" fontId="2" fillId="5" borderId="24" xfId="2" applyNumberFormat="1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7" xfId="2" applyNumberFormat="1" applyFont="1" applyBorder="1" applyAlignment="1">
      <alignment horizontal="center" vertical="center"/>
    </xf>
    <xf numFmtId="49" fontId="13" fillId="0" borderId="28" xfId="2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6" fillId="0" borderId="27" xfId="0" applyNumberFormat="1" applyFont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2" fillId="5" borderId="36" xfId="0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47" xfId="2" applyNumberFormat="1" applyFont="1" applyFill="1" applyBorder="1" applyAlignment="1">
      <alignment horizontal="center" vertical="center"/>
    </xf>
    <xf numFmtId="49" fontId="2" fillId="3" borderId="48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10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3366FF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C4" sqref="C4:C17"/>
    </sheetView>
  </sheetViews>
  <sheetFormatPr defaultRowHeight="15" x14ac:dyDescent="0.25"/>
  <cols>
    <col min="1" max="1" width="15.7109375" customWidth="1"/>
    <col min="2" max="2" width="20.85546875" customWidth="1"/>
    <col min="3" max="15" width="15.7109375" customWidth="1"/>
  </cols>
  <sheetData>
    <row r="1" spans="1:16" ht="9" customHeight="1" x14ac:dyDescent="0.25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</row>
    <row r="2" spans="1:16" ht="23.25" x14ac:dyDescent="0.25">
      <c r="A2" s="235" t="s">
        <v>137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163"/>
    </row>
    <row r="3" spans="1:16" ht="10.5" customHeight="1" thickBot="1" x14ac:dyDescent="0.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16" ht="17.25" thickTop="1" thickBot="1" x14ac:dyDescent="0.3">
      <c r="A4" s="236" t="s">
        <v>105</v>
      </c>
      <c r="B4" s="237"/>
      <c r="C4" s="193">
        <v>45839</v>
      </c>
      <c r="D4" s="193">
        <v>45870</v>
      </c>
      <c r="E4" s="193">
        <v>45901</v>
      </c>
      <c r="F4" s="193">
        <v>45931</v>
      </c>
      <c r="G4" s="193">
        <v>45962</v>
      </c>
      <c r="H4" s="193">
        <v>45992</v>
      </c>
      <c r="I4" s="193">
        <v>46023</v>
      </c>
      <c r="J4" s="193">
        <v>46054</v>
      </c>
      <c r="K4" s="193">
        <v>46082</v>
      </c>
      <c r="L4" s="193">
        <v>46113</v>
      </c>
      <c r="M4" s="193">
        <v>46143</v>
      </c>
      <c r="N4" s="193">
        <v>46174</v>
      </c>
      <c r="O4" s="164" t="s">
        <v>0</v>
      </c>
      <c r="P4" s="165"/>
    </row>
    <row r="5" spans="1:16" ht="17.25" thickTop="1" thickBot="1" x14ac:dyDescent="0.3">
      <c r="A5" s="238" t="s">
        <v>131</v>
      </c>
      <c r="B5" s="239"/>
      <c r="C5" s="231"/>
      <c r="D5" s="232"/>
      <c r="E5" s="232" t="s">
        <v>106</v>
      </c>
      <c r="F5" s="232" t="s">
        <v>106</v>
      </c>
      <c r="G5" s="232" t="s">
        <v>106</v>
      </c>
      <c r="H5" s="232" t="s">
        <v>106</v>
      </c>
      <c r="I5" s="232" t="s">
        <v>106</v>
      </c>
      <c r="J5" s="232" t="s">
        <v>106</v>
      </c>
      <c r="K5" s="232" t="s">
        <v>106</v>
      </c>
      <c r="L5" s="232" t="s">
        <v>106</v>
      </c>
      <c r="M5" s="232" t="s">
        <v>106</v>
      </c>
      <c r="N5" s="232" t="s">
        <v>106</v>
      </c>
      <c r="O5" s="166" t="s">
        <v>106</v>
      </c>
      <c r="P5" s="163"/>
    </row>
    <row r="6" spans="1:16" ht="15.75" x14ac:dyDescent="0.25">
      <c r="A6" s="246" t="s">
        <v>134</v>
      </c>
      <c r="B6" s="247"/>
      <c r="C6" s="209">
        <v>1350599.75</v>
      </c>
      <c r="D6" s="204">
        <v>27558</v>
      </c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1">
        <f>SUM(C6:N6)</f>
        <v>1378157.75</v>
      </c>
      <c r="P6" s="163"/>
    </row>
    <row r="7" spans="1:16" ht="16.5" thickBot="1" x14ac:dyDescent="0.3">
      <c r="A7" s="248"/>
      <c r="B7" s="249"/>
      <c r="C7" s="208">
        <f>C6/C13</f>
        <v>0.79884070601751034</v>
      </c>
      <c r="D7" s="205" t="e">
        <f>D6/#REF!</f>
        <v>#REF!</v>
      </c>
      <c r="E7" s="205" t="e">
        <f>E6/#REF!</f>
        <v>#REF!</v>
      </c>
      <c r="F7" s="205" t="e">
        <f>F6/#REF!</f>
        <v>#REF!</v>
      </c>
      <c r="G7" s="205" t="e">
        <f>G6/#REF!</f>
        <v>#REF!</v>
      </c>
      <c r="H7" s="205" t="e">
        <f>H6/#REF!</f>
        <v>#REF!</v>
      </c>
      <c r="I7" s="205" t="e">
        <f>I6/#REF!</f>
        <v>#REF!</v>
      </c>
      <c r="J7" s="205" t="e">
        <f>J6/#REF!</f>
        <v>#REF!</v>
      </c>
      <c r="K7" s="205" t="e">
        <f>K6/#REF!</f>
        <v>#REF!</v>
      </c>
      <c r="L7" s="205" t="e">
        <f>L6/#REF!</f>
        <v>#REF!</v>
      </c>
      <c r="M7" s="205" t="e">
        <f>M6/#REF!</f>
        <v>#REF!</v>
      </c>
      <c r="N7" s="205" t="e">
        <f>N6/#REF!</f>
        <v>#REF!</v>
      </c>
      <c r="O7" s="202" t="e">
        <f t="shared" ref="O7:O10" si="0">SUM(C7:N7)</f>
        <v>#REF!</v>
      </c>
      <c r="P7" s="163"/>
    </row>
    <row r="8" spans="1:16" ht="15.75" x14ac:dyDescent="0.25">
      <c r="A8" s="250" t="s">
        <v>133</v>
      </c>
      <c r="B8" s="251"/>
      <c r="C8" s="210">
        <v>340099.96</v>
      </c>
      <c r="D8" s="206">
        <v>0</v>
      </c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1">
        <f t="shared" si="0"/>
        <v>340099.96</v>
      </c>
      <c r="P8" s="163"/>
    </row>
    <row r="9" spans="1:16" ht="16.5" thickBot="1" x14ac:dyDescent="0.3">
      <c r="A9" s="252"/>
      <c r="B9" s="253"/>
      <c r="C9" s="211">
        <f>C8/C13</f>
        <v>0.20115929398248966</v>
      </c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2">
        <f t="shared" si="0"/>
        <v>0.20115929398248966</v>
      </c>
      <c r="P9" s="163"/>
    </row>
    <row r="10" spans="1:16" ht="15.75" x14ac:dyDescent="0.25">
      <c r="A10" s="254" t="s">
        <v>129</v>
      </c>
      <c r="B10" s="255"/>
      <c r="C10" s="210">
        <v>0</v>
      </c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1">
        <f t="shared" si="0"/>
        <v>0</v>
      </c>
      <c r="P10" s="163"/>
    </row>
    <row r="11" spans="1:16" ht="16.5" thickBot="1" x14ac:dyDescent="0.3">
      <c r="A11" s="256"/>
      <c r="B11" s="257"/>
      <c r="C11" s="208" t="e">
        <f>C10/C12</f>
        <v>#VALUE!</v>
      </c>
      <c r="D11" s="208" t="e">
        <f>#REF!/D10</f>
        <v>#REF!</v>
      </c>
      <c r="E11" s="208" t="e">
        <f>#REF!/E10</f>
        <v>#REF!</v>
      </c>
      <c r="F11" s="208" t="e">
        <f>#REF!/F10</f>
        <v>#REF!</v>
      </c>
      <c r="G11" s="208" t="e">
        <f>#REF!/G10</f>
        <v>#REF!</v>
      </c>
      <c r="H11" s="208" t="e">
        <f>#REF!/H10</f>
        <v>#REF!</v>
      </c>
      <c r="I11" s="208" t="e">
        <f>#REF!/I10</f>
        <v>#REF!</v>
      </c>
      <c r="J11" s="208" t="e">
        <f>#REF!/J10</f>
        <v>#REF!</v>
      </c>
      <c r="K11" s="208" t="e">
        <f>#REF!/K10</f>
        <v>#REF!</v>
      </c>
      <c r="L11" s="208" t="e">
        <f>#REF!/L10</f>
        <v>#REF!</v>
      </c>
      <c r="M11" s="208" t="e">
        <f>#REF!/M10</f>
        <v>#REF!</v>
      </c>
      <c r="N11" s="208" t="e">
        <f>#REF!/N10</f>
        <v>#REF!</v>
      </c>
      <c r="O11" s="203" t="e">
        <f>#REF!/O10</f>
        <v>#REF!</v>
      </c>
      <c r="P11" s="163"/>
    </row>
    <row r="12" spans="1:16" ht="16.5" thickBot="1" x14ac:dyDescent="0.3">
      <c r="A12" s="240" t="s">
        <v>130</v>
      </c>
      <c r="B12" s="241"/>
      <c r="C12" s="233" t="s">
        <v>138</v>
      </c>
      <c r="D12" s="225">
        <f>SUM(D6+D8+D10)</f>
        <v>27558</v>
      </c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6">
        <f>SUM(C12:N12)</f>
        <v>27558</v>
      </c>
      <c r="P12" s="163"/>
    </row>
    <row r="13" spans="1:16" ht="16.5" thickBot="1" x14ac:dyDescent="0.3">
      <c r="A13" s="271" t="s">
        <v>136</v>
      </c>
      <c r="B13" s="272"/>
      <c r="C13" s="234">
        <v>1690699.71</v>
      </c>
      <c r="D13" s="227">
        <f>'25-26 Budget-Actual Invoiced'!F318</f>
        <v>0</v>
      </c>
      <c r="E13" s="227">
        <f>'25-26 Budget-Actual Invoiced'!G318</f>
        <v>0</v>
      </c>
      <c r="F13" s="227">
        <f>'25-26 Budget-Actual Invoiced'!H318</f>
        <v>0</v>
      </c>
      <c r="G13" s="227">
        <f>'25-26 Budget-Actual Invoiced'!I318</f>
        <v>0</v>
      </c>
      <c r="H13" s="227">
        <f>'25-26 Budget-Actual Invoiced'!J318</f>
        <v>0</v>
      </c>
      <c r="I13" s="227">
        <f>'25-26 Budget-Actual Invoiced'!K318</f>
        <v>0</v>
      </c>
      <c r="J13" s="227">
        <f>'25-26 Budget-Actual Invoiced'!L318</f>
        <v>0</v>
      </c>
      <c r="K13" s="227">
        <f>'25-26 Budget-Actual Invoiced'!M318</f>
        <v>0</v>
      </c>
      <c r="L13" s="227">
        <f>'25-26 Budget-Actual Invoiced'!N318</f>
        <v>0</v>
      </c>
      <c r="M13" s="227">
        <f>'25-26 Budget-Actual Invoiced'!O318</f>
        <v>0</v>
      </c>
      <c r="N13" s="227">
        <f>'25-26 Budget-Actual Invoiced'!P318</f>
        <v>0</v>
      </c>
      <c r="O13" s="228">
        <f>SUM(C13:N13)</f>
        <v>1690699.71</v>
      </c>
      <c r="P13" s="163"/>
    </row>
    <row r="14" spans="1:16" s="196" customFormat="1" ht="16.5" thickBot="1" x14ac:dyDescent="0.3">
      <c r="A14" s="242" t="s">
        <v>1</v>
      </c>
      <c r="B14" s="243"/>
      <c r="C14" s="197">
        <v>1435665</v>
      </c>
      <c r="D14" s="197">
        <v>1507367</v>
      </c>
      <c r="E14" s="197">
        <v>1732767</v>
      </c>
      <c r="F14" s="197">
        <v>1157167</v>
      </c>
      <c r="G14" s="197">
        <v>1168617</v>
      </c>
      <c r="H14" s="197">
        <v>1082167</v>
      </c>
      <c r="I14" s="197">
        <v>1077167</v>
      </c>
      <c r="J14" s="197">
        <v>1196667</v>
      </c>
      <c r="K14" s="197">
        <v>1630917</v>
      </c>
      <c r="L14" s="197">
        <v>1429367</v>
      </c>
      <c r="M14" s="197">
        <v>1255817</v>
      </c>
      <c r="N14" s="198">
        <v>1327815</v>
      </c>
      <c r="O14" s="199">
        <f>SUM(C14:N14)</f>
        <v>16001500</v>
      </c>
      <c r="P14" s="195"/>
    </row>
    <row r="15" spans="1:16" ht="15.75" x14ac:dyDescent="0.25">
      <c r="A15" s="260" t="s">
        <v>2</v>
      </c>
      <c r="B15" s="261"/>
      <c r="C15" s="174">
        <f>C13/C14</f>
        <v>1.1776422145834857</v>
      </c>
      <c r="D15" s="174">
        <f t="shared" ref="D15:O15" si="1">D12/D14</f>
        <v>1.8282209972753816E-2</v>
      </c>
      <c r="E15" s="174">
        <f t="shared" si="1"/>
        <v>0</v>
      </c>
      <c r="F15" s="174">
        <f t="shared" si="1"/>
        <v>0</v>
      </c>
      <c r="G15" s="174">
        <f t="shared" si="1"/>
        <v>0</v>
      </c>
      <c r="H15" s="174">
        <f t="shared" si="1"/>
        <v>0</v>
      </c>
      <c r="I15" s="174">
        <f t="shared" si="1"/>
        <v>0</v>
      </c>
      <c r="J15" s="174">
        <f t="shared" si="1"/>
        <v>0</v>
      </c>
      <c r="K15" s="174">
        <f t="shared" si="1"/>
        <v>0</v>
      </c>
      <c r="L15" s="174">
        <f t="shared" si="1"/>
        <v>0</v>
      </c>
      <c r="M15" s="174">
        <f t="shared" si="1"/>
        <v>0</v>
      </c>
      <c r="N15" s="174">
        <f t="shared" si="1"/>
        <v>0</v>
      </c>
      <c r="O15" s="224">
        <f t="shared" si="1"/>
        <v>1.7222135424803924E-3</v>
      </c>
      <c r="P15" s="163"/>
    </row>
    <row r="16" spans="1:16" ht="15.75" x14ac:dyDescent="0.25">
      <c r="A16" s="262" t="s">
        <v>3</v>
      </c>
      <c r="B16" s="263"/>
      <c r="C16" s="175">
        <f>C13-C14</f>
        <v>255034.70999999996</v>
      </c>
      <c r="D16" s="175">
        <f>D12-D14</f>
        <v>-1479809</v>
      </c>
      <c r="E16" s="175">
        <f>E12-E14</f>
        <v>-1732767</v>
      </c>
      <c r="F16" s="175">
        <f t="shared" ref="F16:N16" si="2">F12-F14</f>
        <v>-1157167</v>
      </c>
      <c r="G16" s="175">
        <f t="shared" si="2"/>
        <v>-1168617</v>
      </c>
      <c r="H16" s="175">
        <f t="shared" si="2"/>
        <v>-1082167</v>
      </c>
      <c r="I16" s="175">
        <f t="shared" si="2"/>
        <v>-1077167</v>
      </c>
      <c r="J16" s="175">
        <f t="shared" si="2"/>
        <v>-1196667</v>
      </c>
      <c r="K16" s="175">
        <f t="shared" si="2"/>
        <v>-1630917</v>
      </c>
      <c r="L16" s="175">
        <f t="shared" si="2"/>
        <v>-1429367</v>
      </c>
      <c r="M16" s="175">
        <f t="shared" si="2"/>
        <v>-1255817</v>
      </c>
      <c r="N16" s="175">
        <f t="shared" si="2"/>
        <v>-1327815</v>
      </c>
      <c r="O16" s="176">
        <f>SUM(C16:N16)</f>
        <v>-14283242.289999999</v>
      </c>
      <c r="P16" s="165"/>
    </row>
    <row r="17" spans="1:16" ht="16.5" thickBot="1" x14ac:dyDescent="0.3">
      <c r="A17" s="264" t="s">
        <v>4</v>
      </c>
      <c r="B17" s="265"/>
      <c r="C17" s="177">
        <f t="shared" ref="C17:O17" si="3">C16/C14</f>
        <v>0.17764221458348567</v>
      </c>
      <c r="D17" s="177">
        <f t="shared" si="3"/>
        <v>-0.98171779002724624</v>
      </c>
      <c r="E17" s="177">
        <f>E16/E14</f>
        <v>-1</v>
      </c>
      <c r="F17" s="177">
        <f t="shared" si="3"/>
        <v>-1</v>
      </c>
      <c r="G17" s="177">
        <f t="shared" si="3"/>
        <v>-1</v>
      </c>
      <c r="H17" s="177">
        <f t="shared" si="3"/>
        <v>-1</v>
      </c>
      <c r="I17" s="177">
        <f t="shared" si="3"/>
        <v>-1</v>
      </c>
      <c r="J17" s="177">
        <f t="shared" si="3"/>
        <v>-1</v>
      </c>
      <c r="K17" s="177">
        <f t="shared" si="3"/>
        <v>-1</v>
      </c>
      <c r="L17" s="177">
        <f t="shared" si="3"/>
        <v>-1</v>
      </c>
      <c r="M17" s="177">
        <f t="shared" si="3"/>
        <v>-1</v>
      </c>
      <c r="N17" s="177">
        <f t="shared" si="3"/>
        <v>-1</v>
      </c>
      <c r="O17" s="178">
        <f t="shared" si="3"/>
        <v>-0.89261896009749075</v>
      </c>
      <c r="P17" s="165"/>
    </row>
    <row r="18" spans="1:16" ht="9.75" customHeight="1" thickBot="1" x14ac:dyDescent="0.3">
      <c r="A18" s="194"/>
      <c r="B18" s="194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165"/>
    </row>
    <row r="19" spans="1:16" ht="16.5" thickTop="1" x14ac:dyDescent="0.25">
      <c r="A19" s="266" t="s">
        <v>107</v>
      </c>
      <c r="B19" s="212" t="s">
        <v>108</v>
      </c>
      <c r="C19" s="169">
        <v>0</v>
      </c>
      <c r="D19" s="169">
        <v>491671</v>
      </c>
      <c r="E19" s="169">
        <v>165000</v>
      </c>
      <c r="F19" s="169">
        <v>0</v>
      </c>
      <c r="G19" s="169">
        <v>0</v>
      </c>
      <c r="H19" s="169">
        <v>0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  <c r="N19" s="184">
        <v>0</v>
      </c>
      <c r="O19" s="190">
        <f>SUM(C19:N19)</f>
        <v>656671</v>
      </c>
      <c r="P19" s="170"/>
    </row>
    <row r="20" spans="1:16" ht="15.75" x14ac:dyDescent="0.25">
      <c r="A20" s="267"/>
      <c r="B20" s="213" t="s">
        <v>109</v>
      </c>
      <c r="C20" s="179">
        <v>0</v>
      </c>
      <c r="D20" s="179">
        <v>859</v>
      </c>
      <c r="E20" s="179">
        <v>1</v>
      </c>
      <c r="F20" s="179">
        <v>0</v>
      </c>
      <c r="G20" s="179">
        <v>0</v>
      </c>
      <c r="H20" s="179">
        <v>0</v>
      </c>
      <c r="I20" s="179">
        <v>0</v>
      </c>
      <c r="J20" s="179">
        <v>0</v>
      </c>
      <c r="K20" s="179">
        <v>0</v>
      </c>
      <c r="L20" s="179">
        <v>0</v>
      </c>
      <c r="M20" s="179">
        <v>0</v>
      </c>
      <c r="N20" s="185">
        <v>0</v>
      </c>
      <c r="O20" s="191">
        <f t="shared" ref="O20:O34" si="4">SUM(C20:N20)</f>
        <v>860</v>
      </c>
      <c r="P20" s="172"/>
    </row>
    <row r="21" spans="1:16" ht="15.75" x14ac:dyDescent="0.25">
      <c r="A21" s="267"/>
      <c r="B21" s="214" t="s">
        <v>110</v>
      </c>
      <c r="C21" s="183">
        <v>0</v>
      </c>
      <c r="D21" s="183">
        <v>51863</v>
      </c>
      <c r="E21" s="183">
        <v>0</v>
      </c>
      <c r="F21" s="183">
        <v>0</v>
      </c>
      <c r="G21" s="183">
        <v>0</v>
      </c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6">
        <v>0</v>
      </c>
      <c r="O21" s="191">
        <f t="shared" si="4"/>
        <v>51863</v>
      </c>
      <c r="P21" s="170"/>
    </row>
    <row r="22" spans="1:16" ht="15.75" x14ac:dyDescent="0.25">
      <c r="A22" s="267"/>
      <c r="B22" s="215" t="s">
        <v>111</v>
      </c>
      <c r="C22" s="179">
        <v>0</v>
      </c>
      <c r="D22" s="179">
        <v>208</v>
      </c>
      <c r="E22" s="179">
        <v>0</v>
      </c>
      <c r="F22" s="179">
        <v>0</v>
      </c>
      <c r="G22" s="179">
        <v>0</v>
      </c>
      <c r="H22" s="179">
        <v>0</v>
      </c>
      <c r="I22" s="179">
        <v>0</v>
      </c>
      <c r="J22" s="179">
        <v>0</v>
      </c>
      <c r="K22" s="179">
        <v>0</v>
      </c>
      <c r="L22" s="179">
        <v>0</v>
      </c>
      <c r="M22" s="179">
        <v>0</v>
      </c>
      <c r="N22" s="185">
        <v>0</v>
      </c>
      <c r="O22" s="191">
        <f t="shared" si="4"/>
        <v>208</v>
      </c>
      <c r="P22" s="172"/>
    </row>
    <row r="23" spans="1:16" ht="15.75" x14ac:dyDescent="0.25">
      <c r="A23" s="267"/>
      <c r="B23" s="214" t="s">
        <v>112</v>
      </c>
      <c r="C23" s="183">
        <v>0</v>
      </c>
      <c r="D23" s="183">
        <v>285754</v>
      </c>
      <c r="E23" s="183">
        <v>0</v>
      </c>
      <c r="F23" s="183">
        <v>0</v>
      </c>
      <c r="G23" s="183">
        <v>0</v>
      </c>
      <c r="H23" s="183">
        <v>0</v>
      </c>
      <c r="I23" s="183">
        <v>0</v>
      </c>
      <c r="J23" s="183">
        <v>0</v>
      </c>
      <c r="K23" s="183">
        <v>0</v>
      </c>
      <c r="L23" s="183">
        <v>0</v>
      </c>
      <c r="M23" s="183">
        <v>0</v>
      </c>
      <c r="N23" s="186">
        <v>0</v>
      </c>
      <c r="O23" s="191">
        <f t="shared" si="4"/>
        <v>285754</v>
      </c>
      <c r="P23" s="170"/>
    </row>
    <row r="24" spans="1:16" ht="16.5" thickBot="1" x14ac:dyDescent="0.3">
      <c r="A24" s="267"/>
      <c r="B24" s="216" t="s">
        <v>113</v>
      </c>
      <c r="C24" s="180">
        <v>0</v>
      </c>
      <c r="D24" s="180">
        <v>315</v>
      </c>
      <c r="E24" s="180">
        <v>0</v>
      </c>
      <c r="F24" s="180">
        <v>0</v>
      </c>
      <c r="G24" s="180">
        <v>0</v>
      </c>
      <c r="H24" s="180">
        <v>0</v>
      </c>
      <c r="I24" s="180">
        <v>0</v>
      </c>
      <c r="J24" s="180">
        <v>0</v>
      </c>
      <c r="K24" s="180">
        <v>0</v>
      </c>
      <c r="L24" s="180">
        <v>0</v>
      </c>
      <c r="M24" s="180">
        <v>0</v>
      </c>
      <c r="N24" s="187">
        <v>0</v>
      </c>
      <c r="O24" s="192">
        <f t="shared" si="4"/>
        <v>315</v>
      </c>
      <c r="P24" s="172"/>
    </row>
    <row r="25" spans="1:16" ht="16.5" thickTop="1" x14ac:dyDescent="0.25">
      <c r="A25" s="268" t="s">
        <v>114</v>
      </c>
      <c r="B25" s="212" t="s">
        <v>108</v>
      </c>
      <c r="C25" s="182">
        <v>0</v>
      </c>
      <c r="D25" s="182">
        <v>114235</v>
      </c>
      <c r="E25" s="182">
        <v>0</v>
      </c>
      <c r="F25" s="182">
        <v>0</v>
      </c>
      <c r="G25" s="182">
        <v>0</v>
      </c>
      <c r="H25" s="182">
        <v>0</v>
      </c>
      <c r="I25" s="182">
        <v>0</v>
      </c>
      <c r="J25" s="182">
        <v>0</v>
      </c>
      <c r="K25" s="182">
        <v>0</v>
      </c>
      <c r="L25" s="182">
        <v>0</v>
      </c>
      <c r="M25" s="182">
        <v>0</v>
      </c>
      <c r="N25" s="188">
        <v>0</v>
      </c>
      <c r="O25" s="190">
        <f t="shared" si="4"/>
        <v>114235</v>
      </c>
      <c r="P25" s="171"/>
    </row>
    <row r="26" spans="1:16" ht="15.75" x14ac:dyDescent="0.25">
      <c r="A26" s="269"/>
      <c r="B26" s="215" t="s">
        <v>109</v>
      </c>
      <c r="C26" s="179">
        <v>0</v>
      </c>
      <c r="D26" s="179">
        <v>598</v>
      </c>
      <c r="E26" s="179">
        <v>0</v>
      </c>
      <c r="F26" s="179">
        <v>0</v>
      </c>
      <c r="G26" s="179">
        <v>0</v>
      </c>
      <c r="H26" s="179">
        <v>0</v>
      </c>
      <c r="I26" s="179">
        <v>0</v>
      </c>
      <c r="J26" s="179">
        <v>0</v>
      </c>
      <c r="K26" s="179">
        <v>0</v>
      </c>
      <c r="L26" s="179">
        <v>0</v>
      </c>
      <c r="M26" s="179">
        <v>0</v>
      </c>
      <c r="N26" s="185">
        <v>0</v>
      </c>
      <c r="O26" s="191">
        <f t="shared" si="4"/>
        <v>598</v>
      </c>
      <c r="P26" s="173"/>
    </row>
    <row r="27" spans="1:16" ht="15.75" x14ac:dyDescent="0.25">
      <c r="A27" s="269"/>
      <c r="B27" s="214" t="s">
        <v>110</v>
      </c>
      <c r="C27" s="183">
        <v>0</v>
      </c>
      <c r="D27" s="183">
        <v>67986</v>
      </c>
      <c r="E27" s="183">
        <v>0</v>
      </c>
      <c r="F27" s="183">
        <v>0</v>
      </c>
      <c r="G27" s="183">
        <v>0</v>
      </c>
      <c r="H27" s="183">
        <v>0</v>
      </c>
      <c r="I27" s="183"/>
      <c r="J27" s="183">
        <v>0</v>
      </c>
      <c r="K27" s="183">
        <v>0</v>
      </c>
      <c r="L27" s="183">
        <v>0</v>
      </c>
      <c r="M27" s="183">
        <v>0</v>
      </c>
      <c r="N27" s="186">
        <v>0</v>
      </c>
      <c r="O27" s="191">
        <f t="shared" si="4"/>
        <v>67986</v>
      </c>
      <c r="P27" s="171"/>
    </row>
    <row r="28" spans="1:16" ht="16.5" thickBot="1" x14ac:dyDescent="0.3">
      <c r="A28" s="270"/>
      <c r="B28" s="217" t="s">
        <v>111</v>
      </c>
      <c r="C28" s="181">
        <v>0</v>
      </c>
      <c r="D28" s="181">
        <v>332</v>
      </c>
      <c r="E28" s="181">
        <v>0</v>
      </c>
      <c r="F28" s="181">
        <v>0</v>
      </c>
      <c r="G28" s="181">
        <v>0</v>
      </c>
      <c r="H28" s="181">
        <v>0</v>
      </c>
      <c r="I28" s="181"/>
      <c r="J28" s="181">
        <v>0</v>
      </c>
      <c r="K28" s="181">
        <v>0</v>
      </c>
      <c r="L28" s="181">
        <v>0</v>
      </c>
      <c r="M28" s="181">
        <v>0</v>
      </c>
      <c r="N28" s="189">
        <v>0</v>
      </c>
      <c r="O28" s="192">
        <f t="shared" si="4"/>
        <v>332</v>
      </c>
      <c r="P28" s="173"/>
    </row>
    <row r="29" spans="1:16" ht="16.5" thickTop="1" x14ac:dyDescent="0.25">
      <c r="A29" s="244" t="s">
        <v>132</v>
      </c>
      <c r="B29" s="212" t="s">
        <v>108</v>
      </c>
      <c r="C29" s="182">
        <v>0</v>
      </c>
      <c r="D29" s="182">
        <v>0</v>
      </c>
      <c r="E29" s="229">
        <v>169052</v>
      </c>
      <c r="F29" s="182">
        <v>0</v>
      </c>
      <c r="G29" s="182">
        <v>0</v>
      </c>
      <c r="H29" s="182">
        <v>0</v>
      </c>
      <c r="I29" s="182">
        <v>0</v>
      </c>
      <c r="J29" s="182">
        <v>0</v>
      </c>
      <c r="K29" s="182">
        <v>0</v>
      </c>
      <c r="L29" s="182">
        <v>0</v>
      </c>
      <c r="M29" s="182">
        <v>0</v>
      </c>
      <c r="N29" s="188">
        <v>0</v>
      </c>
      <c r="O29" s="190">
        <f t="shared" ref="O29:O32" si="5">SUM(C29:N29)</f>
        <v>169052</v>
      </c>
      <c r="P29" s="173"/>
    </row>
    <row r="30" spans="1:16" ht="15.75" x14ac:dyDescent="0.25">
      <c r="A30" s="245"/>
      <c r="B30" s="215" t="s">
        <v>109</v>
      </c>
      <c r="C30" s="179">
        <v>0</v>
      </c>
      <c r="D30" s="179">
        <v>0</v>
      </c>
      <c r="E30" s="230">
        <v>143</v>
      </c>
      <c r="F30" s="179">
        <v>0</v>
      </c>
      <c r="G30" s="179">
        <v>0</v>
      </c>
      <c r="H30" s="179">
        <v>0</v>
      </c>
      <c r="I30" s="179">
        <v>0</v>
      </c>
      <c r="J30" s="179">
        <v>0</v>
      </c>
      <c r="K30" s="179">
        <v>0</v>
      </c>
      <c r="L30" s="179">
        <v>0</v>
      </c>
      <c r="M30" s="179">
        <v>0</v>
      </c>
      <c r="N30" s="185">
        <v>0</v>
      </c>
      <c r="O30" s="191">
        <f t="shared" si="5"/>
        <v>143</v>
      </c>
      <c r="P30" s="173"/>
    </row>
    <row r="31" spans="1:16" ht="15.75" x14ac:dyDescent="0.25">
      <c r="A31" s="245"/>
      <c r="B31" s="214" t="s">
        <v>110</v>
      </c>
      <c r="C31" s="183">
        <v>0</v>
      </c>
      <c r="D31" s="183">
        <v>0</v>
      </c>
      <c r="E31" s="183">
        <v>0</v>
      </c>
      <c r="F31" s="183">
        <v>0</v>
      </c>
      <c r="G31" s="183">
        <v>0</v>
      </c>
      <c r="H31" s="183">
        <v>0</v>
      </c>
      <c r="I31" s="183"/>
      <c r="J31" s="183">
        <v>0</v>
      </c>
      <c r="K31" s="183">
        <v>0</v>
      </c>
      <c r="L31" s="183">
        <v>0</v>
      </c>
      <c r="M31" s="183">
        <v>0</v>
      </c>
      <c r="N31" s="186">
        <v>0</v>
      </c>
      <c r="O31" s="191">
        <f t="shared" si="5"/>
        <v>0</v>
      </c>
      <c r="P31" s="173"/>
    </row>
    <row r="32" spans="1:16" ht="16.5" thickBot="1" x14ac:dyDescent="0.3">
      <c r="A32" s="245"/>
      <c r="B32" s="217" t="s">
        <v>111</v>
      </c>
      <c r="C32" s="181">
        <v>0</v>
      </c>
      <c r="D32" s="181">
        <v>0</v>
      </c>
      <c r="E32" s="181">
        <v>0</v>
      </c>
      <c r="F32" s="181">
        <v>0</v>
      </c>
      <c r="G32" s="181">
        <v>0</v>
      </c>
      <c r="H32" s="181">
        <v>0</v>
      </c>
      <c r="I32" s="181"/>
      <c r="J32" s="181">
        <v>0</v>
      </c>
      <c r="K32" s="181">
        <v>0</v>
      </c>
      <c r="L32" s="181">
        <v>0</v>
      </c>
      <c r="M32" s="181">
        <v>0</v>
      </c>
      <c r="N32" s="189">
        <v>0</v>
      </c>
      <c r="O32" s="192">
        <f t="shared" si="5"/>
        <v>0</v>
      </c>
      <c r="P32" s="173"/>
    </row>
    <row r="33" spans="1:16" ht="16.5" thickTop="1" x14ac:dyDescent="0.25">
      <c r="A33" s="258" t="s">
        <v>115</v>
      </c>
      <c r="B33" s="218" t="s">
        <v>116</v>
      </c>
      <c r="C33" s="219">
        <f>SUM(C27,C25,C23,C21,C19,C29,C31)</f>
        <v>0</v>
      </c>
      <c r="D33" s="219">
        <f t="shared" ref="D33:N33" si="6">SUM(D27,D25,D23,D21,D19,D29,D31)</f>
        <v>1011509</v>
      </c>
      <c r="E33" s="219">
        <f t="shared" si="6"/>
        <v>334052</v>
      </c>
      <c r="F33" s="219">
        <f t="shared" si="6"/>
        <v>0</v>
      </c>
      <c r="G33" s="219">
        <f t="shared" si="6"/>
        <v>0</v>
      </c>
      <c r="H33" s="219">
        <f t="shared" si="6"/>
        <v>0</v>
      </c>
      <c r="I33" s="219">
        <f t="shared" si="6"/>
        <v>0</v>
      </c>
      <c r="J33" s="219">
        <f t="shared" si="6"/>
        <v>0</v>
      </c>
      <c r="K33" s="219">
        <f t="shared" si="6"/>
        <v>0</v>
      </c>
      <c r="L33" s="219">
        <f t="shared" si="6"/>
        <v>0</v>
      </c>
      <c r="M33" s="219">
        <f t="shared" si="6"/>
        <v>0</v>
      </c>
      <c r="N33" s="219">
        <f t="shared" si="6"/>
        <v>0</v>
      </c>
      <c r="O33" s="220">
        <f t="shared" si="4"/>
        <v>1345561</v>
      </c>
      <c r="P33" s="171"/>
    </row>
    <row r="34" spans="1:16" ht="16.5" thickBot="1" x14ac:dyDescent="0.3">
      <c r="A34" s="259"/>
      <c r="B34" s="221" t="s">
        <v>117</v>
      </c>
      <c r="C34" s="222">
        <f>SUM(C28,C26,C24,C22,C20,C30,C32)</f>
        <v>0</v>
      </c>
      <c r="D34" s="222">
        <f t="shared" ref="D34:N34" si="7">SUM(D28,D26,D24,D22,D20,D30,D32)</f>
        <v>2312</v>
      </c>
      <c r="E34" s="222">
        <f t="shared" si="7"/>
        <v>144</v>
      </c>
      <c r="F34" s="222">
        <f t="shared" si="7"/>
        <v>0</v>
      </c>
      <c r="G34" s="222">
        <f t="shared" si="7"/>
        <v>0</v>
      </c>
      <c r="H34" s="222">
        <f t="shared" si="7"/>
        <v>0</v>
      </c>
      <c r="I34" s="222">
        <f t="shared" si="7"/>
        <v>0</v>
      </c>
      <c r="J34" s="222">
        <f t="shared" si="7"/>
        <v>0</v>
      </c>
      <c r="K34" s="222">
        <f t="shared" si="7"/>
        <v>0</v>
      </c>
      <c r="L34" s="222">
        <f t="shared" si="7"/>
        <v>0</v>
      </c>
      <c r="M34" s="222">
        <f t="shared" si="7"/>
        <v>0</v>
      </c>
      <c r="N34" s="222">
        <f t="shared" si="7"/>
        <v>0</v>
      </c>
      <c r="O34" s="223">
        <f t="shared" si="4"/>
        <v>2456</v>
      </c>
      <c r="P34" s="173"/>
    </row>
    <row r="35" spans="1:16" ht="16.5" thickTop="1" x14ac:dyDescent="0.2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8"/>
      <c r="M35" s="168"/>
      <c r="N35" s="167"/>
      <c r="O35" s="167"/>
      <c r="P35" s="168"/>
    </row>
  </sheetData>
  <mergeCells count="16"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  <mergeCell ref="A2:O2"/>
    <mergeCell ref="A4:B4"/>
    <mergeCell ref="A5:B5"/>
    <mergeCell ref="A12:B12"/>
    <mergeCell ref="A14:B14"/>
  </mergeCells>
  <conditionalFormatting sqref="C14:N14">
    <cfRule type="containsErrors" dxfId="103" priority="4">
      <formula>ISERROR(C14)</formula>
    </cfRule>
  </conditionalFormatting>
  <conditionalFormatting sqref="C6:O11">
    <cfRule type="containsErrors" dxfId="102" priority="1">
      <formula>ISERROR(C6)</formula>
    </cfRule>
  </conditionalFormatting>
  <pageMargins left="0.7" right="0.7" top="0.75" bottom="0.75" header="0.3" footer="0.3"/>
  <ignoredErrors>
    <ignoredError sqref="D7:O7 C11:O11 F10:O10 D9:O9 F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W323"/>
  <sheetViews>
    <sheetView zoomScale="85" zoomScaleNormal="85" workbookViewId="0">
      <pane xSplit="3" ySplit="2" topLeftCell="D318" activePane="bottomRight" state="frozen"/>
      <selection pane="topRight" activeCell="D1" sqref="D1"/>
      <selection pane="bottomLeft" activeCell="A3" sqref="A3"/>
      <selection pane="bottomRight" activeCell="E2" sqref="E2:E322"/>
    </sheetView>
  </sheetViews>
  <sheetFormatPr defaultRowHeight="15" outlineLevelRow="2" x14ac:dyDescent="0.2"/>
  <cols>
    <col min="1" max="1" width="21.5703125" style="147" customWidth="1"/>
    <col min="2" max="2" width="47.7109375" style="147" hidden="1" customWidth="1"/>
    <col min="3" max="3" width="49.5703125" style="147" bestFit="1" customWidth="1"/>
    <col min="4" max="4" width="16" style="147" customWidth="1"/>
    <col min="5" max="5" width="15.85546875" style="147" customWidth="1"/>
    <col min="6" max="6" width="15.85546875" style="147" hidden="1" customWidth="1"/>
    <col min="7" max="9" width="14.7109375" style="147" hidden="1" customWidth="1"/>
    <col min="10" max="10" width="14.5703125" style="147" hidden="1" customWidth="1"/>
    <col min="11" max="11" width="14.7109375" style="147" hidden="1" customWidth="1"/>
    <col min="12" max="12" width="15" style="147" hidden="1" customWidth="1"/>
    <col min="13" max="13" width="14.42578125" style="147" hidden="1" customWidth="1"/>
    <col min="14" max="14" width="15" style="147" hidden="1" customWidth="1"/>
    <col min="15" max="15" width="14" style="147" hidden="1" customWidth="1"/>
    <col min="16" max="16" width="14.140625" style="147" hidden="1" customWidth="1"/>
    <col min="17" max="17" width="19.5703125" style="147" hidden="1" customWidth="1"/>
    <col min="18" max="18" width="15" style="147" hidden="1" customWidth="1"/>
    <col min="19" max="19" width="28.7109375" style="147" hidden="1" customWidth="1"/>
    <col min="20" max="20" width="43.85546875" style="147" hidden="1" customWidth="1"/>
    <col min="21" max="21" width="12.28515625" style="147" hidden="1" customWidth="1"/>
    <col min="22" max="22" width="21" style="147" customWidth="1"/>
    <col min="23" max="23" width="11.5703125" style="147" customWidth="1"/>
    <col min="24" max="30" width="9.140625" style="147" customWidth="1"/>
    <col min="31" max="16384" width="9.140625" style="147"/>
  </cols>
  <sheetData>
    <row r="1" spans="1:19" ht="39" customHeight="1" thickTop="1" thickBot="1" x14ac:dyDescent="0.25">
      <c r="A1" s="296" t="s">
        <v>135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8"/>
      <c r="Q1" s="299" t="s">
        <v>5</v>
      </c>
      <c r="R1" s="299"/>
      <c r="S1" s="291" t="s">
        <v>6</v>
      </c>
    </row>
    <row r="2" spans="1:19" ht="64.5" customHeight="1" thickTop="1" thickBot="1" x14ac:dyDescent="0.25">
      <c r="A2" s="116" t="s">
        <v>7</v>
      </c>
      <c r="B2" s="117" t="s">
        <v>8</v>
      </c>
      <c r="C2" s="118" t="s">
        <v>9</v>
      </c>
      <c r="D2" s="119"/>
      <c r="E2" s="120">
        <v>45839</v>
      </c>
      <c r="F2" s="120">
        <v>45870</v>
      </c>
      <c r="G2" s="120">
        <v>45901</v>
      </c>
      <c r="H2" s="120">
        <v>45931</v>
      </c>
      <c r="I2" s="120">
        <v>45962</v>
      </c>
      <c r="J2" s="120">
        <v>45992</v>
      </c>
      <c r="K2" s="120">
        <v>46023</v>
      </c>
      <c r="L2" s="120">
        <v>46054</v>
      </c>
      <c r="M2" s="120">
        <v>46082</v>
      </c>
      <c r="N2" s="120">
        <v>46113</v>
      </c>
      <c r="O2" s="120">
        <v>46143</v>
      </c>
      <c r="P2" s="120">
        <v>46174</v>
      </c>
      <c r="Q2" s="120" t="s">
        <v>0</v>
      </c>
      <c r="R2" s="121" t="s">
        <v>10</v>
      </c>
      <c r="S2" s="292"/>
    </row>
    <row r="3" spans="1:19" ht="15.75" hidden="1" customHeight="1" outlineLevel="1" x14ac:dyDescent="0.25">
      <c r="A3" s="273" t="s">
        <v>11</v>
      </c>
      <c r="B3" s="276" t="s">
        <v>12</v>
      </c>
      <c r="C3" s="288" t="s">
        <v>13</v>
      </c>
      <c r="D3" s="77" t="s">
        <v>14</v>
      </c>
      <c r="E3" s="78">
        <v>770</v>
      </c>
      <c r="F3" s="78"/>
      <c r="G3" s="79"/>
      <c r="H3" s="80"/>
      <c r="I3" s="80"/>
      <c r="J3" s="80"/>
      <c r="K3" s="80"/>
      <c r="L3" s="80"/>
      <c r="M3" s="127"/>
      <c r="N3" s="127"/>
      <c r="O3" s="127"/>
      <c r="P3" s="127"/>
      <c r="Q3" s="90">
        <f>+SUM(E3:P3)</f>
        <v>770</v>
      </c>
      <c r="R3" s="279">
        <f>Q3/Q4</f>
        <v>1.4E-2</v>
      </c>
      <c r="S3" s="114">
        <v>0</v>
      </c>
    </row>
    <row r="4" spans="1:19" ht="15.75" hidden="1" customHeight="1" outlineLevel="1" x14ac:dyDescent="0.25">
      <c r="A4" s="274"/>
      <c r="B4" s="277"/>
      <c r="C4" s="289"/>
      <c r="D4" s="81" t="s">
        <v>1</v>
      </c>
      <c r="E4" s="154">
        <v>3000</v>
      </c>
      <c r="F4" s="154">
        <v>4200</v>
      </c>
      <c r="G4" s="154">
        <v>1600</v>
      </c>
      <c r="H4" s="154">
        <v>7500</v>
      </c>
      <c r="I4" s="154">
        <v>5450</v>
      </c>
      <c r="J4" s="154">
        <v>1500</v>
      </c>
      <c r="K4" s="154">
        <v>4000</v>
      </c>
      <c r="L4" s="154">
        <v>4000</v>
      </c>
      <c r="M4" s="154">
        <v>7750</v>
      </c>
      <c r="N4" s="154">
        <v>6700</v>
      </c>
      <c r="O4" s="154">
        <v>4650</v>
      </c>
      <c r="P4" s="154">
        <v>4650</v>
      </c>
      <c r="Q4" s="155">
        <f>SUM(E4:P4)</f>
        <v>55000</v>
      </c>
      <c r="R4" s="280"/>
      <c r="S4" s="113">
        <f>Q4/$Q$319</f>
        <v>3.4371777645845702E-3</v>
      </c>
    </row>
    <row r="5" spans="1:19" ht="16.5" hidden="1" customHeight="1" outlineLevel="1" thickBot="1" x14ac:dyDescent="0.3">
      <c r="A5" s="275"/>
      <c r="B5" s="278"/>
      <c r="C5" s="290"/>
      <c r="D5" s="102" t="s">
        <v>15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/>
      <c r="R5" s="281"/>
      <c r="S5" s="107"/>
    </row>
    <row r="6" spans="1:19" ht="15.75" hidden="1" customHeight="1" outlineLevel="1" x14ac:dyDescent="0.25">
      <c r="A6" s="273" t="s">
        <v>11</v>
      </c>
      <c r="B6" s="276" t="s">
        <v>12</v>
      </c>
      <c r="C6" s="293" t="s">
        <v>119</v>
      </c>
      <c r="D6" s="77" t="s">
        <v>14</v>
      </c>
      <c r="E6" s="78">
        <v>179440.36</v>
      </c>
      <c r="F6" s="78"/>
      <c r="G6" s="79"/>
      <c r="H6" s="80"/>
      <c r="I6" s="80"/>
      <c r="J6" s="80"/>
      <c r="K6" s="80"/>
      <c r="L6" s="80"/>
      <c r="M6" s="80"/>
      <c r="N6" s="80"/>
      <c r="O6" s="80"/>
      <c r="P6" s="80"/>
      <c r="Q6" s="90">
        <f t="shared" ref="Q6" si="0">+SUM(E6:P6)</f>
        <v>179440.36</v>
      </c>
      <c r="R6" s="279">
        <f>Q6/Q7</f>
        <v>0.16238946606334839</v>
      </c>
      <c r="S6" s="115">
        <v>0</v>
      </c>
    </row>
    <row r="7" spans="1:19" ht="15.75" hidden="1" customHeight="1" outlineLevel="1" x14ac:dyDescent="0.25">
      <c r="A7" s="274"/>
      <c r="B7" s="277"/>
      <c r="C7" s="294"/>
      <c r="D7" s="81" t="s">
        <v>1</v>
      </c>
      <c r="E7" s="154">
        <v>105000</v>
      </c>
      <c r="F7" s="154">
        <v>100000</v>
      </c>
      <c r="G7" s="154">
        <v>75000</v>
      </c>
      <c r="H7" s="154">
        <v>75000</v>
      </c>
      <c r="I7" s="154">
        <v>100000</v>
      </c>
      <c r="J7" s="154">
        <v>100000</v>
      </c>
      <c r="K7" s="154">
        <v>80000</v>
      </c>
      <c r="L7" s="154">
        <v>80000</v>
      </c>
      <c r="M7" s="154">
        <v>95000</v>
      </c>
      <c r="N7" s="154">
        <v>95000</v>
      </c>
      <c r="O7" s="154">
        <v>100000</v>
      </c>
      <c r="P7" s="154">
        <v>100000</v>
      </c>
      <c r="Q7" s="155">
        <f t="shared" ref="Q7" si="1">SUM(E7:P7)</f>
        <v>1105000</v>
      </c>
      <c r="R7" s="280"/>
      <c r="S7" s="113">
        <f>Q7/$Q$319</f>
        <v>6.9056025997562734E-2</v>
      </c>
    </row>
    <row r="8" spans="1:19" ht="16.5" hidden="1" customHeight="1" outlineLevel="1" thickBot="1" x14ac:dyDescent="0.3">
      <c r="A8" s="275"/>
      <c r="B8" s="278"/>
      <c r="C8" s="295"/>
      <c r="D8" s="102" t="s">
        <v>15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4"/>
      <c r="R8" s="281"/>
      <c r="S8" s="107"/>
    </row>
    <row r="9" spans="1:19" ht="15.75" hidden="1" customHeight="1" outlineLevel="1" x14ac:dyDescent="0.25">
      <c r="A9" s="273" t="s">
        <v>11</v>
      </c>
      <c r="B9" s="276" t="s">
        <v>12</v>
      </c>
      <c r="C9" s="293" t="s">
        <v>122</v>
      </c>
      <c r="D9" s="77" t="s">
        <v>14</v>
      </c>
      <c r="E9" s="78"/>
      <c r="F9" s="78"/>
      <c r="G9" s="79"/>
      <c r="H9" s="80"/>
      <c r="I9" s="80"/>
      <c r="J9" s="80"/>
      <c r="K9" s="80"/>
      <c r="L9" s="80"/>
      <c r="M9" s="80"/>
      <c r="N9" s="80"/>
      <c r="O9" s="80"/>
      <c r="P9" s="80"/>
      <c r="Q9" s="90">
        <f t="shared" ref="Q9" si="2">+SUM(E9:P9)</f>
        <v>0</v>
      </c>
      <c r="R9" s="279">
        <f>Q9/Q10</f>
        <v>0</v>
      </c>
      <c r="S9" s="115">
        <v>0</v>
      </c>
    </row>
    <row r="10" spans="1:19" ht="15.75" hidden="1" customHeight="1" outlineLevel="1" x14ac:dyDescent="0.25">
      <c r="A10" s="274"/>
      <c r="B10" s="277"/>
      <c r="C10" s="294"/>
      <c r="D10" s="81" t="s">
        <v>1</v>
      </c>
      <c r="E10" s="154"/>
      <c r="F10" s="154"/>
      <c r="G10" s="154">
        <v>220000</v>
      </c>
      <c r="H10" s="154">
        <v>20000</v>
      </c>
      <c r="I10" s="154">
        <v>20000</v>
      </c>
      <c r="J10" s="154">
        <v>15000</v>
      </c>
      <c r="K10" s="154">
        <v>15000</v>
      </c>
      <c r="L10" s="154">
        <v>15000</v>
      </c>
      <c r="M10" s="154">
        <v>15000</v>
      </c>
      <c r="N10" s="154">
        <v>15000</v>
      </c>
      <c r="O10" s="154">
        <v>15000</v>
      </c>
      <c r="P10" s="154">
        <v>15000</v>
      </c>
      <c r="Q10" s="155">
        <f t="shared" ref="Q10" si="3">SUM(E10:P10)</f>
        <v>365000</v>
      </c>
      <c r="R10" s="280"/>
      <c r="S10" s="113">
        <f>Q10/$Q$319</f>
        <v>2.2810361528606694E-2</v>
      </c>
    </row>
    <row r="11" spans="1:19" ht="16.5" hidden="1" customHeight="1" outlineLevel="1" thickBot="1" x14ac:dyDescent="0.3">
      <c r="A11" s="275"/>
      <c r="B11" s="278"/>
      <c r="C11" s="295"/>
      <c r="D11" s="102" t="s">
        <v>15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  <c r="R11" s="281"/>
      <c r="S11" s="107"/>
    </row>
    <row r="12" spans="1:19" ht="15.75" hidden="1" customHeight="1" outlineLevel="1" x14ac:dyDescent="0.25">
      <c r="A12" s="273" t="s">
        <v>11</v>
      </c>
      <c r="B12" s="276" t="s">
        <v>12</v>
      </c>
      <c r="C12" s="288" t="s">
        <v>16</v>
      </c>
      <c r="D12" s="77" t="s">
        <v>14</v>
      </c>
      <c r="E12" s="78">
        <v>2856</v>
      </c>
      <c r="F12" s="78"/>
      <c r="G12" s="79"/>
      <c r="H12" s="80"/>
      <c r="I12" s="80"/>
      <c r="J12" s="80"/>
      <c r="K12" s="80"/>
      <c r="L12" s="80"/>
      <c r="M12" s="80"/>
      <c r="N12" s="80"/>
      <c r="O12" s="80"/>
      <c r="P12" s="80"/>
      <c r="Q12" s="90">
        <f t="shared" ref="Q12" si="4">+SUM(E12:P12)</f>
        <v>2856</v>
      </c>
      <c r="R12" s="279">
        <f>Q12/Q13</f>
        <v>4.7600000000000003E-2</v>
      </c>
      <c r="S12" s="114">
        <v>0</v>
      </c>
    </row>
    <row r="13" spans="1:19" ht="15.75" hidden="1" customHeight="1" outlineLevel="1" x14ac:dyDescent="0.25">
      <c r="A13" s="274"/>
      <c r="B13" s="277"/>
      <c r="C13" s="289"/>
      <c r="D13" s="81" t="s">
        <v>1</v>
      </c>
      <c r="E13" s="154">
        <v>4000</v>
      </c>
      <c r="F13" s="154">
        <v>5000</v>
      </c>
      <c r="G13" s="154">
        <v>5000</v>
      </c>
      <c r="H13" s="154">
        <v>5500</v>
      </c>
      <c r="I13" s="154">
        <v>5500</v>
      </c>
      <c r="J13" s="154">
        <v>4500</v>
      </c>
      <c r="K13" s="154">
        <v>4500</v>
      </c>
      <c r="L13" s="154">
        <v>5500</v>
      </c>
      <c r="M13" s="154">
        <v>5500</v>
      </c>
      <c r="N13" s="154">
        <v>4500</v>
      </c>
      <c r="O13" s="154">
        <v>5000</v>
      </c>
      <c r="P13" s="154">
        <v>5500</v>
      </c>
      <c r="Q13" s="155">
        <f t="shared" ref="Q13" si="5">SUM(E13:P13)</f>
        <v>60000</v>
      </c>
      <c r="R13" s="280"/>
      <c r="S13" s="113">
        <f>Q13/$Q$319</f>
        <v>3.7496484704558947E-3</v>
      </c>
    </row>
    <row r="14" spans="1:19" ht="16.5" hidden="1" customHeight="1" outlineLevel="1" thickBot="1" x14ac:dyDescent="0.3">
      <c r="A14" s="275"/>
      <c r="B14" s="278"/>
      <c r="C14" s="290"/>
      <c r="D14" s="105" t="s">
        <v>15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4"/>
      <c r="R14" s="281"/>
      <c r="S14" s="107"/>
    </row>
    <row r="15" spans="1:19" ht="15.75" hidden="1" customHeight="1" outlineLevel="1" x14ac:dyDescent="0.25">
      <c r="A15" s="273" t="s">
        <v>11</v>
      </c>
      <c r="B15" s="276" t="s">
        <v>12</v>
      </c>
      <c r="C15" s="288" t="s">
        <v>17</v>
      </c>
      <c r="D15" s="77" t="s">
        <v>14</v>
      </c>
      <c r="E15" s="78">
        <v>2144</v>
      </c>
      <c r="F15" s="78"/>
      <c r="G15" s="79"/>
      <c r="H15" s="80"/>
      <c r="I15" s="80"/>
      <c r="J15" s="80"/>
      <c r="K15" s="80"/>
      <c r="L15" s="80"/>
      <c r="M15" s="80"/>
      <c r="N15" s="80"/>
      <c r="O15" s="80"/>
      <c r="P15" s="80"/>
      <c r="Q15" s="90">
        <f t="shared" ref="Q15" si="6">+SUM(E15:P15)</f>
        <v>2144</v>
      </c>
      <c r="R15" s="279">
        <f>Q15/Q16</f>
        <v>0.1072</v>
      </c>
      <c r="S15" s="114">
        <v>0</v>
      </c>
    </row>
    <row r="16" spans="1:19" ht="15.75" hidden="1" customHeight="1" outlineLevel="1" x14ac:dyDescent="0.25">
      <c r="A16" s="274"/>
      <c r="B16" s="277"/>
      <c r="C16" s="289"/>
      <c r="D16" s="81" t="s">
        <v>1</v>
      </c>
      <c r="E16" s="154">
        <v>4000</v>
      </c>
      <c r="F16" s="154">
        <v>4000</v>
      </c>
      <c r="G16" s="154">
        <v>1500</v>
      </c>
      <c r="H16" s="154">
        <v>1500</v>
      </c>
      <c r="I16" s="154">
        <v>1500</v>
      </c>
      <c r="J16" s="154"/>
      <c r="K16" s="154">
        <v>2000</v>
      </c>
      <c r="L16" s="154">
        <v>2000</v>
      </c>
      <c r="M16" s="154">
        <v>2000</v>
      </c>
      <c r="N16" s="154"/>
      <c r="O16" s="154"/>
      <c r="P16" s="154">
        <v>1500</v>
      </c>
      <c r="Q16" s="155">
        <f t="shared" ref="Q16" si="7">SUM(E16:P16)</f>
        <v>20000</v>
      </c>
      <c r="R16" s="280"/>
      <c r="S16" s="113">
        <f>Q16/$Q$319</f>
        <v>1.2498828234852983E-3</v>
      </c>
    </row>
    <row r="17" spans="1:19" ht="16.5" hidden="1" customHeight="1" outlineLevel="1" thickBot="1" x14ac:dyDescent="0.3">
      <c r="A17" s="275"/>
      <c r="B17" s="278"/>
      <c r="C17" s="290"/>
      <c r="D17" s="102" t="s">
        <v>15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  <c r="R17" s="281"/>
      <c r="S17" s="107"/>
    </row>
    <row r="18" spans="1:19" ht="15.75" hidden="1" customHeight="1" outlineLevel="1" x14ac:dyDescent="0.25">
      <c r="A18" s="273" t="s">
        <v>11</v>
      </c>
      <c r="B18" s="276" t="s">
        <v>12</v>
      </c>
      <c r="C18" s="288" t="s">
        <v>18</v>
      </c>
      <c r="D18" s="77" t="s">
        <v>14</v>
      </c>
      <c r="E18" s="78">
        <v>5435.32</v>
      </c>
      <c r="F18" s="78"/>
      <c r="G18" s="79"/>
      <c r="H18" s="80"/>
      <c r="I18" s="80"/>
      <c r="J18" s="80"/>
      <c r="K18" s="80"/>
      <c r="L18" s="80"/>
      <c r="M18" s="80"/>
      <c r="N18" s="80"/>
      <c r="O18" s="80"/>
      <c r="P18" s="80"/>
      <c r="Q18" s="90">
        <f t="shared" ref="Q18" si="8">+SUM(E18:P18)</f>
        <v>5435.32</v>
      </c>
      <c r="R18" s="279">
        <f>Q18/Q19</f>
        <v>9.0588666666666665E-2</v>
      </c>
      <c r="S18" s="114">
        <v>0</v>
      </c>
    </row>
    <row r="19" spans="1:19" ht="15.75" hidden="1" customHeight="1" outlineLevel="1" x14ac:dyDescent="0.25">
      <c r="A19" s="274"/>
      <c r="B19" s="277"/>
      <c r="C19" s="289"/>
      <c r="D19" s="81" t="s">
        <v>1</v>
      </c>
      <c r="E19" s="154">
        <v>6000</v>
      </c>
      <c r="F19" s="154">
        <v>6000</v>
      </c>
      <c r="G19" s="154">
        <v>6500</v>
      </c>
      <c r="H19" s="154">
        <v>4000</v>
      </c>
      <c r="I19" s="154">
        <v>4000</v>
      </c>
      <c r="J19" s="154">
        <v>3000</v>
      </c>
      <c r="K19" s="154">
        <v>4000</v>
      </c>
      <c r="L19" s="154">
        <v>3000</v>
      </c>
      <c r="M19" s="154">
        <v>6000</v>
      </c>
      <c r="N19" s="154">
        <v>6000</v>
      </c>
      <c r="O19" s="154">
        <v>5500</v>
      </c>
      <c r="P19" s="154">
        <v>6000</v>
      </c>
      <c r="Q19" s="155">
        <f t="shared" ref="Q19" si="9">SUM(E19:P19)</f>
        <v>60000</v>
      </c>
      <c r="R19" s="280"/>
      <c r="S19" s="113">
        <f>Q19/$Q$319</f>
        <v>3.7496484704558947E-3</v>
      </c>
    </row>
    <row r="20" spans="1:19" ht="16.5" hidden="1" customHeight="1" outlineLevel="1" thickBot="1" x14ac:dyDescent="0.3">
      <c r="A20" s="275"/>
      <c r="B20" s="278"/>
      <c r="C20" s="290"/>
      <c r="D20" s="105" t="s">
        <v>15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281"/>
      <c r="S20" s="107"/>
    </row>
    <row r="21" spans="1:19" ht="15.75" hidden="1" customHeight="1" outlineLevel="1" x14ac:dyDescent="0.25">
      <c r="A21" s="273" t="s">
        <v>11</v>
      </c>
      <c r="B21" s="276" t="s">
        <v>12</v>
      </c>
      <c r="C21" s="288" t="s">
        <v>19</v>
      </c>
      <c r="D21" s="77" t="s">
        <v>14</v>
      </c>
      <c r="E21" s="78">
        <v>1304.78</v>
      </c>
      <c r="F21" s="78"/>
      <c r="G21" s="79"/>
      <c r="H21" s="80"/>
      <c r="I21" s="80"/>
      <c r="J21" s="80"/>
      <c r="K21" s="80"/>
      <c r="L21" s="80"/>
      <c r="M21" s="80"/>
      <c r="N21" s="80"/>
      <c r="O21" s="80"/>
      <c r="P21" s="80"/>
      <c r="Q21" s="90">
        <f t="shared" ref="Q21" si="10">+SUM(E21:P21)</f>
        <v>1304.78</v>
      </c>
      <c r="R21" s="279">
        <f>Q21/Q22</f>
        <v>1.8639714285714284E-2</v>
      </c>
      <c r="S21" s="114">
        <v>0</v>
      </c>
    </row>
    <row r="22" spans="1:19" ht="15.75" hidden="1" customHeight="1" outlineLevel="1" x14ac:dyDescent="0.25">
      <c r="A22" s="274"/>
      <c r="B22" s="277"/>
      <c r="C22" s="289"/>
      <c r="D22" s="81" t="s">
        <v>1</v>
      </c>
      <c r="E22" s="154">
        <v>2500</v>
      </c>
      <c r="F22" s="154">
        <v>8000</v>
      </c>
      <c r="G22" s="154">
        <v>8000</v>
      </c>
      <c r="H22" s="154">
        <v>5000</v>
      </c>
      <c r="I22" s="154">
        <v>8000</v>
      </c>
      <c r="J22" s="154">
        <v>2000</v>
      </c>
      <c r="K22" s="154">
        <v>2000</v>
      </c>
      <c r="L22" s="154">
        <v>7000</v>
      </c>
      <c r="M22" s="154">
        <v>8000</v>
      </c>
      <c r="N22" s="154">
        <v>5000</v>
      </c>
      <c r="O22" s="154">
        <v>8000</v>
      </c>
      <c r="P22" s="154">
        <v>6500</v>
      </c>
      <c r="Q22" s="155">
        <f t="shared" ref="Q22" si="11">SUM(E22:P22)</f>
        <v>70000</v>
      </c>
      <c r="R22" s="280"/>
      <c r="S22" s="113">
        <f>Q22/$Q$319</f>
        <v>4.3745898821985442E-3</v>
      </c>
    </row>
    <row r="23" spans="1:19" ht="16.5" hidden="1" customHeight="1" outlineLevel="1" thickBot="1" x14ac:dyDescent="0.3">
      <c r="A23" s="275"/>
      <c r="B23" s="278"/>
      <c r="C23" s="290"/>
      <c r="D23" s="102" t="s">
        <v>15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4"/>
      <c r="R23" s="281"/>
      <c r="S23" s="107"/>
    </row>
    <row r="24" spans="1:19" ht="15.75" hidden="1" customHeight="1" outlineLevel="1" x14ac:dyDescent="0.25">
      <c r="A24" s="273" t="s">
        <v>11</v>
      </c>
      <c r="B24" s="276" t="s">
        <v>12</v>
      </c>
      <c r="C24" s="288" t="s">
        <v>20</v>
      </c>
      <c r="D24" s="77" t="s">
        <v>14</v>
      </c>
      <c r="E24" s="78">
        <v>10031.030000000001</v>
      </c>
      <c r="F24" s="78"/>
      <c r="G24" s="79"/>
      <c r="H24" s="80"/>
      <c r="I24" s="80"/>
      <c r="J24" s="80"/>
      <c r="K24" s="80"/>
      <c r="L24" s="80"/>
      <c r="M24" s="80"/>
      <c r="N24" s="80"/>
      <c r="O24" s="80"/>
      <c r="P24" s="80"/>
      <c r="Q24" s="90">
        <f t="shared" ref="Q24" si="12">+SUM(E24:P24)</f>
        <v>10031.030000000001</v>
      </c>
      <c r="R24" s="279">
        <f>Q24/Q25</f>
        <v>0.16718383333333334</v>
      </c>
      <c r="S24" s="114">
        <v>0</v>
      </c>
    </row>
    <row r="25" spans="1:19" ht="15.75" hidden="1" customHeight="1" outlineLevel="1" x14ac:dyDescent="0.25">
      <c r="A25" s="274"/>
      <c r="B25" s="277"/>
      <c r="C25" s="289"/>
      <c r="D25" s="81" t="s">
        <v>1</v>
      </c>
      <c r="E25" s="154">
        <v>20000</v>
      </c>
      <c r="F25" s="154">
        <v>20000</v>
      </c>
      <c r="G25" s="154">
        <v>20000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5">
        <f t="shared" ref="Q25" si="13">SUM(E25:P25)</f>
        <v>60000</v>
      </c>
      <c r="R25" s="280"/>
      <c r="S25" s="113">
        <f>Q25/$Q$319</f>
        <v>3.7496484704558947E-3</v>
      </c>
    </row>
    <row r="26" spans="1:19" ht="16.5" hidden="1" customHeight="1" outlineLevel="1" thickBot="1" x14ac:dyDescent="0.3">
      <c r="A26" s="275"/>
      <c r="B26" s="278"/>
      <c r="C26" s="290"/>
      <c r="D26" s="102" t="s">
        <v>15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  <c r="R26" s="281"/>
      <c r="S26" s="107"/>
    </row>
    <row r="27" spans="1:19" ht="15.75" hidden="1" customHeight="1" outlineLevel="1" x14ac:dyDescent="0.25">
      <c r="A27" s="273" t="s">
        <v>11</v>
      </c>
      <c r="B27" s="276" t="s">
        <v>12</v>
      </c>
      <c r="C27" s="288" t="s">
        <v>21</v>
      </c>
      <c r="D27" s="77" t="s">
        <v>14</v>
      </c>
      <c r="E27" s="78">
        <v>7328.96</v>
      </c>
      <c r="F27" s="78"/>
      <c r="G27" s="79"/>
      <c r="H27" s="80"/>
      <c r="I27" s="80"/>
      <c r="J27" s="80"/>
      <c r="K27" s="80"/>
      <c r="L27" s="80"/>
      <c r="M27" s="127"/>
      <c r="N27" s="127"/>
      <c r="O27" s="127"/>
      <c r="P27" s="127"/>
      <c r="Q27" s="90">
        <f t="shared" ref="Q27" si="14">+SUM(E27:P27)</f>
        <v>7328.96</v>
      </c>
      <c r="R27" s="279">
        <f>Q27/Q28</f>
        <v>6.1074666666666666E-2</v>
      </c>
      <c r="S27" s="114">
        <v>0</v>
      </c>
    </row>
    <row r="28" spans="1:19" ht="15.75" hidden="1" customHeight="1" outlineLevel="1" x14ac:dyDescent="0.25">
      <c r="A28" s="274"/>
      <c r="B28" s="277"/>
      <c r="C28" s="289"/>
      <c r="D28" s="81" t="s">
        <v>1</v>
      </c>
      <c r="E28" s="154">
        <v>10000</v>
      </c>
      <c r="F28" s="154">
        <v>10000</v>
      </c>
      <c r="G28" s="154">
        <v>10000</v>
      </c>
      <c r="H28" s="154">
        <v>10000</v>
      </c>
      <c r="I28" s="154">
        <v>10000</v>
      </c>
      <c r="J28" s="154">
        <v>10000</v>
      </c>
      <c r="K28" s="154">
        <v>10000</v>
      </c>
      <c r="L28" s="154">
        <v>10000</v>
      </c>
      <c r="M28" s="154">
        <v>10000</v>
      </c>
      <c r="N28" s="154">
        <v>10000</v>
      </c>
      <c r="O28" s="154">
        <v>10000</v>
      </c>
      <c r="P28" s="154">
        <v>10000</v>
      </c>
      <c r="Q28" s="155">
        <f t="shared" ref="Q28" si="15">SUM(E28:P28)</f>
        <v>120000</v>
      </c>
      <c r="R28" s="280"/>
      <c r="S28" s="113">
        <f>Q28/$Q$319</f>
        <v>7.4992969409117894E-3</v>
      </c>
    </row>
    <row r="29" spans="1:19" ht="16.5" hidden="1" customHeight="1" outlineLevel="1" thickBot="1" x14ac:dyDescent="0.3">
      <c r="A29" s="275"/>
      <c r="B29" s="278"/>
      <c r="C29" s="290"/>
      <c r="D29" s="102" t="s">
        <v>15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4"/>
      <c r="R29" s="281"/>
      <c r="S29" s="107"/>
    </row>
    <row r="30" spans="1:19" ht="15.75" hidden="1" customHeight="1" outlineLevel="1" x14ac:dyDescent="0.25">
      <c r="A30" s="273" t="s">
        <v>11</v>
      </c>
      <c r="B30" s="276" t="s">
        <v>12</v>
      </c>
      <c r="C30" s="288" t="s">
        <v>22</v>
      </c>
      <c r="D30" s="77" t="s">
        <v>14</v>
      </c>
      <c r="E30" s="78">
        <v>12661.63</v>
      </c>
      <c r="F30" s="78"/>
      <c r="G30" s="79"/>
      <c r="H30" s="80"/>
      <c r="I30" s="80"/>
      <c r="J30" s="80"/>
      <c r="K30" s="80"/>
      <c r="L30" s="80"/>
      <c r="M30" s="127"/>
      <c r="N30" s="127"/>
      <c r="O30" s="127"/>
      <c r="P30" s="127"/>
      <c r="Q30" s="90">
        <f t="shared" ref="Q30" si="16">+SUM(E30:P30)</f>
        <v>12661.63</v>
      </c>
      <c r="R30" s="279">
        <f>Q30/Q31</f>
        <v>0.21102716666666665</v>
      </c>
      <c r="S30" s="114">
        <v>0</v>
      </c>
    </row>
    <row r="31" spans="1:19" ht="15.75" hidden="1" customHeight="1" outlineLevel="1" x14ac:dyDescent="0.25">
      <c r="A31" s="274"/>
      <c r="B31" s="277"/>
      <c r="C31" s="289"/>
      <c r="D31" s="81" t="s">
        <v>1</v>
      </c>
      <c r="E31" s="154">
        <v>5000</v>
      </c>
      <c r="F31" s="154">
        <v>5500</v>
      </c>
      <c r="G31" s="154">
        <v>5000</v>
      </c>
      <c r="H31" s="154">
        <v>3500</v>
      </c>
      <c r="I31" s="154">
        <v>4000</v>
      </c>
      <c r="J31" s="154">
        <v>3500</v>
      </c>
      <c r="K31" s="154">
        <v>5500</v>
      </c>
      <c r="L31" s="154">
        <v>4000</v>
      </c>
      <c r="M31" s="154">
        <v>7500</v>
      </c>
      <c r="N31" s="154">
        <v>5500</v>
      </c>
      <c r="O31" s="154">
        <v>5500</v>
      </c>
      <c r="P31" s="154">
        <v>5500</v>
      </c>
      <c r="Q31" s="155">
        <f t="shared" ref="Q31" si="17">SUM(E31:P31)</f>
        <v>60000</v>
      </c>
      <c r="R31" s="280"/>
      <c r="S31" s="113">
        <f>Q31/$Q$319</f>
        <v>3.7496484704558947E-3</v>
      </c>
    </row>
    <row r="32" spans="1:19" ht="16.5" hidden="1" customHeight="1" outlineLevel="1" thickBot="1" x14ac:dyDescent="0.3">
      <c r="A32" s="275"/>
      <c r="B32" s="278"/>
      <c r="C32" s="290"/>
      <c r="D32" s="102" t="s">
        <v>15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  <c r="R32" s="281"/>
      <c r="S32" s="107"/>
    </row>
    <row r="33" spans="1:21" ht="15.75" hidden="1" customHeight="1" outlineLevel="1" x14ac:dyDescent="0.25">
      <c r="A33" s="273" t="s">
        <v>11</v>
      </c>
      <c r="B33" s="276" t="s">
        <v>12</v>
      </c>
      <c r="C33" s="288" t="s">
        <v>23</v>
      </c>
      <c r="D33" s="77" t="s">
        <v>14</v>
      </c>
      <c r="E33" s="78">
        <v>7674.8</v>
      </c>
      <c r="F33" s="78"/>
      <c r="G33" s="79"/>
      <c r="H33" s="80"/>
      <c r="I33" s="80"/>
      <c r="J33" s="80"/>
      <c r="K33" s="80"/>
      <c r="L33" s="80"/>
      <c r="M33" s="127"/>
      <c r="N33" s="127"/>
      <c r="O33" s="127"/>
      <c r="P33" s="127"/>
      <c r="Q33" s="90">
        <f t="shared" ref="Q33" si="18">+SUM(E33:P33)</f>
        <v>7674.8</v>
      </c>
      <c r="R33" s="279">
        <f>Q33/Q34</f>
        <v>0.12791333333333332</v>
      </c>
      <c r="S33" s="114">
        <v>0</v>
      </c>
    </row>
    <row r="34" spans="1:21" ht="15.75" hidden="1" customHeight="1" outlineLevel="1" x14ac:dyDescent="0.25">
      <c r="A34" s="274"/>
      <c r="B34" s="277"/>
      <c r="C34" s="289"/>
      <c r="D34" s="81" t="s">
        <v>1</v>
      </c>
      <c r="E34" s="154">
        <v>5500</v>
      </c>
      <c r="F34" s="154">
        <v>5500</v>
      </c>
      <c r="G34" s="154">
        <v>4500</v>
      </c>
      <c r="H34" s="154">
        <v>5500</v>
      </c>
      <c r="I34" s="154">
        <v>5500</v>
      </c>
      <c r="J34" s="154">
        <v>3000</v>
      </c>
      <c r="K34" s="154">
        <v>3500</v>
      </c>
      <c r="L34" s="154">
        <v>5500</v>
      </c>
      <c r="M34" s="154">
        <v>5500</v>
      </c>
      <c r="N34" s="154">
        <v>5500</v>
      </c>
      <c r="O34" s="154">
        <v>5000</v>
      </c>
      <c r="P34" s="154">
        <v>5500</v>
      </c>
      <c r="Q34" s="155">
        <f t="shared" ref="Q34" si="19">SUM(E34:P34)</f>
        <v>60000</v>
      </c>
      <c r="R34" s="280"/>
      <c r="S34" s="113">
        <f>Q34/$Q$319</f>
        <v>3.7496484704558947E-3</v>
      </c>
    </row>
    <row r="35" spans="1:21" ht="16.5" hidden="1" customHeight="1" outlineLevel="1" thickBot="1" x14ac:dyDescent="0.3">
      <c r="A35" s="275"/>
      <c r="B35" s="278"/>
      <c r="C35" s="290"/>
      <c r="D35" s="102" t="s">
        <v>15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  <c r="R35" s="281"/>
      <c r="S35" s="107"/>
      <c r="U35" s="148"/>
    </row>
    <row r="36" spans="1:21" ht="15.75" hidden="1" customHeight="1" outlineLevel="1" x14ac:dyDescent="0.25">
      <c r="A36" s="273" t="s">
        <v>11</v>
      </c>
      <c r="B36" s="276" t="s">
        <v>12</v>
      </c>
      <c r="C36" s="288" t="s">
        <v>101</v>
      </c>
      <c r="D36" s="77" t="s">
        <v>14</v>
      </c>
      <c r="E36" s="78">
        <v>314</v>
      </c>
      <c r="F36" s="78"/>
      <c r="G36" s="79"/>
      <c r="H36" s="80"/>
      <c r="I36" s="80"/>
      <c r="J36" s="80"/>
      <c r="K36" s="80"/>
      <c r="L36" s="80"/>
      <c r="M36" s="80"/>
      <c r="N36" s="80"/>
      <c r="O36" s="80"/>
      <c r="P36" s="80"/>
      <c r="Q36" s="90">
        <f t="shared" ref="Q36" si="20">+SUM(E36:P36)</f>
        <v>314</v>
      </c>
      <c r="R36" s="279">
        <f>Q36/Q37</f>
        <v>6.28E-3</v>
      </c>
      <c r="S36" s="114">
        <v>0</v>
      </c>
    </row>
    <row r="37" spans="1:21" ht="15.75" hidden="1" customHeight="1" outlineLevel="1" x14ac:dyDescent="0.25">
      <c r="A37" s="274"/>
      <c r="B37" s="277"/>
      <c r="C37" s="289"/>
      <c r="D37" s="81" t="s">
        <v>1</v>
      </c>
      <c r="E37" s="154">
        <v>6000</v>
      </c>
      <c r="F37" s="154">
        <v>6000</v>
      </c>
      <c r="G37" s="154">
        <v>6000</v>
      </c>
      <c r="H37" s="154">
        <v>3000</v>
      </c>
      <c r="I37" s="154">
        <v>3000</v>
      </c>
      <c r="J37" s="154">
        <v>3000</v>
      </c>
      <c r="K37" s="154">
        <v>4000</v>
      </c>
      <c r="L37" s="154">
        <v>3000</v>
      </c>
      <c r="M37" s="154">
        <v>3000</v>
      </c>
      <c r="N37" s="154">
        <v>3000</v>
      </c>
      <c r="O37" s="154">
        <v>5000</v>
      </c>
      <c r="P37" s="154">
        <v>5000</v>
      </c>
      <c r="Q37" s="155">
        <f t="shared" ref="Q37" si="21">SUM(E37:P37)</f>
        <v>50000</v>
      </c>
      <c r="R37" s="280"/>
      <c r="S37" s="113">
        <f>Q37/$Q$319</f>
        <v>3.1247070587132456E-3</v>
      </c>
    </row>
    <row r="38" spans="1:21" ht="16.5" hidden="1" customHeight="1" outlineLevel="1" thickBot="1" x14ac:dyDescent="0.3">
      <c r="A38" s="275"/>
      <c r="B38" s="278"/>
      <c r="C38" s="290"/>
      <c r="D38" s="105" t="s">
        <v>15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  <c r="R38" s="281"/>
      <c r="S38" s="107"/>
    </row>
    <row r="39" spans="1:21" ht="15.75" hidden="1" customHeight="1" outlineLevel="1" x14ac:dyDescent="0.25">
      <c r="A39" s="273" t="s">
        <v>11</v>
      </c>
      <c r="B39" s="276" t="s">
        <v>12</v>
      </c>
      <c r="C39" s="288" t="s">
        <v>24</v>
      </c>
      <c r="D39" s="77" t="s">
        <v>14</v>
      </c>
      <c r="E39" s="78">
        <v>6185.5</v>
      </c>
      <c r="F39" s="78"/>
      <c r="G39" s="79"/>
      <c r="H39" s="80"/>
      <c r="I39" s="80"/>
      <c r="J39" s="80"/>
      <c r="K39" s="80"/>
      <c r="L39" s="80"/>
      <c r="M39" s="127"/>
      <c r="N39" s="127"/>
      <c r="O39" s="127"/>
      <c r="P39" s="127"/>
      <c r="Q39" s="90">
        <f t="shared" ref="Q39" si="22">+SUM(E39:P39)</f>
        <v>6185.5</v>
      </c>
      <c r="R39" s="279">
        <f>Q39/Q40</f>
        <v>8.8364285714285715E-2</v>
      </c>
      <c r="S39" s="114">
        <v>0</v>
      </c>
    </row>
    <row r="40" spans="1:21" ht="15.75" hidden="1" customHeight="1" outlineLevel="1" x14ac:dyDescent="0.25">
      <c r="A40" s="274"/>
      <c r="B40" s="277"/>
      <c r="C40" s="289"/>
      <c r="D40" s="81" t="s">
        <v>1</v>
      </c>
      <c r="E40" s="154">
        <v>4000</v>
      </c>
      <c r="F40" s="154">
        <v>4000</v>
      </c>
      <c r="G40" s="154">
        <v>4500</v>
      </c>
      <c r="H40" s="154">
        <v>5500</v>
      </c>
      <c r="I40" s="154">
        <v>15000</v>
      </c>
      <c r="J40" s="154">
        <v>4500</v>
      </c>
      <c r="K40" s="154">
        <v>2500</v>
      </c>
      <c r="L40" s="154">
        <v>4000</v>
      </c>
      <c r="M40" s="154">
        <v>15000</v>
      </c>
      <c r="N40" s="154">
        <v>5500</v>
      </c>
      <c r="O40" s="154">
        <v>2500</v>
      </c>
      <c r="P40" s="154">
        <v>3000</v>
      </c>
      <c r="Q40" s="155">
        <f t="shared" ref="Q40" si="23">SUM(E40:P40)</f>
        <v>70000</v>
      </c>
      <c r="R40" s="280"/>
      <c r="S40" s="113">
        <f>Q40/$Q$319</f>
        <v>4.3745898821985442E-3</v>
      </c>
      <c r="U40" s="148"/>
    </row>
    <row r="41" spans="1:21" ht="16.5" hidden="1" customHeight="1" outlineLevel="1" thickBot="1" x14ac:dyDescent="0.3">
      <c r="A41" s="275"/>
      <c r="B41" s="278"/>
      <c r="C41" s="290"/>
      <c r="D41" s="102" t="s">
        <v>15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4"/>
      <c r="R41" s="281"/>
      <c r="S41" s="107"/>
    </row>
    <row r="42" spans="1:21" ht="15.75" hidden="1" customHeight="1" outlineLevel="1" x14ac:dyDescent="0.25">
      <c r="A42" s="273" t="s">
        <v>11</v>
      </c>
      <c r="B42" s="276" t="s">
        <v>12</v>
      </c>
      <c r="C42" s="288" t="s">
        <v>118</v>
      </c>
      <c r="D42" s="77" t="s">
        <v>14</v>
      </c>
      <c r="E42" s="78"/>
      <c r="F42" s="78"/>
      <c r="G42" s="79"/>
      <c r="H42" s="80"/>
      <c r="I42" s="80"/>
      <c r="J42" s="80"/>
      <c r="K42" s="80"/>
      <c r="L42" s="80"/>
      <c r="M42" s="127"/>
      <c r="N42" s="127"/>
      <c r="O42" s="127"/>
      <c r="P42" s="127"/>
      <c r="Q42" s="90">
        <f t="shared" ref="Q42" si="24">+SUM(E42:P42)</f>
        <v>0</v>
      </c>
      <c r="R42" s="279">
        <f>Q42/Q43</f>
        <v>0</v>
      </c>
      <c r="S42" s="114">
        <v>0</v>
      </c>
    </row>
    <row r="43" spans="1:21" ht="15.75" hidden="1" customHeight="1" outlineLevel="1" x14ac:dyDescent="0.25">
      <c r="A43" s="274"/>
      <c r="B43" s="277"/>
      <c r="C43" s="289"/>
      <c r="D43" s="81" t="s">
        <v>1</v>
      </c>
      <c r="E43" s="154"/>
      <c r="F43" s="154"/>
      <c r="G43" s="154"/>
      <c r="H43" s="154"/>
      <c r="I43" s="154"/>
      <c r="J43" s="154"/>
      <c r="K43" s="154"/>
      <c r="L43" s="154"/>
      <c r="M43" s="154">
        <v>300000</v>
      </c>
      <c r="N43" s="154"/>
      <c r="O43" s="154"/>
      <c r="P43" s="154"/>
      <c r="Q43" s="155">
        <f t="shared" ref="Q43" si="25">SUM(E43:P43)</f>
        <v>300000</v>
      </c>
      <c r="R43" s="280"/>
      <c r="S43" s="113">
        <f>Q43/$Q$319</f>
        <v>1.8748242352279475E-2</v>
      </c>
      <c r="U43" s="148"/>
    </row>
    <row r="44" spans="1:21" ht="16.5" hidden="1" customHeight="1" outlineLevel="1" thickBot="1" x14ac:dyDescent="0.3">
      <c r="A44" s="275"/>
      <c r="B44" s="278"/>
      <c r="C44" s="290"/>
      <c r="D44" s="102" t="s">
        <v>15</v>
      </c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4"/>
      <c r="R44" s="281"/>
      <c r="S44" s="107"/>
    </row>
    <row r="45" spans="1:21" ht="15.75" hidden="1" customHeight="1" outlineLevel="1" x14ac:dyDescent="0.25">
      <c r="A45" s="273" t="s">
        <v>11</v>
      </c>
      <c r="B45" s="276" t="s">
        <v>12</v>
      </c>
      <c r="C45" s="288" t="s">
        <v>25</v>
      </c>
      <c r="D45" s="77" t="s">
        <v>14</v>
      </c>
      <c r="E45" s="78">
        <v>6727</v>
      </c>
      <c r="F45" s="78"/>
      <c r="G45" s="79"/>
      <c r="H45" s="80"/>
      <c r="I45" s="80"/>
      <c r="J45" s="80"/>
      <c r="K45" s="80"/>
      <c r="L45" s="80"/>
      <c r="M45" s="127"/>
      <c r="N45" s="127"/>
      <c r="O45" s="127"/>
      <c r="P45" s="127"/>
      <c r="Q45" s="90">
        <f t="shared" ref="Q45" si="26">+SUM(E45:P45)</f>
        <v>6727</v>
      </c>
      <c r="R45" s="279">
        <f>Q45/Q46</f>
        <v>6.1154545454545454E-2</v>
      </c>
      <c r="S45" s="114">
        <v>0</v>
      </c>
    </row>
    <row r="46" spans="1:21" ht="15.75" hidden="1" customHeight="1" outlineLevel="1" x14ac:dyDescent="0.25">
      <c r="A46" s="274"/>
      <c r="B46" s="277"/>
      <c r="C46" s="289"/>
      <c r="D46" s="81" t="s">
        <v>1</v>
      </c>
      <c r="E46" s="154">
        <v>25000</v>
      </c>
      <c r="F46" s="154">
        <v>25000</v>
      </c>
      <c r="G46" s="154">
        <v>20000</v>
      </c>
      <c r="H46" s="154">
        <v>10000</v>
      </c>
      <c r="I46" s="154"/>
      <c r="J46" s="154"/>
      <c r="K46" s="154">
        <v>20000</v>
      </c>
      <c r="L46" s="154"/>
      <c r="M46" s="154"/>
      <c r="N46" s="154"/>
      <c r="O46" s="154"/>
      <c r="P46" s="154">
        <v>10000</v>
      </c>
      <c r="Q46" s="155">
        <f t="shared" ref="Q46" si="27">SUM(E46:P46)</f>
        <v>110000</v>
      </c>
      <c r="R46" s="280"/>
      <c r="S46" s="113">
        <f>Q46/$Q$319</f>
        <v>6.8743555291691403E-3</v>
      </c>
    </row>
    <row r="47" spans="1:21" ht="16.5" hidden="1" customHeight="1" outlineLevel="1" thickBot="1" x14ac:dyDescent="0.3">
      <c r="A47" s="275"/>
      <c r="B47" s="278"/>
      <c r="C47" s="290"/>
      <c r="D47" s="102" t="s">
        <v>15</v>
      </c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4"/>
      <c r="R47" s="281"/>
      <c r="S47" s="107"/>
    </row>
    <row r="48" spans="1:21" ht="15.75" hidden="1" customHeight="1" outlineLevel="1" x14ac:dyDescent="0.25">
      <c r="A48" s="273" t="s">
        <v>11</v>
      </c>
      <c r="B48" s="276" t="s">
        <v>12</v>
      </c>
      <c r="C48" s="288" t="s">
        <v>26</v>
      </c>
      <c r="D48" s="77" t="s">
        <v>14</v>
      </c>
      <c r="E48" s="78">
        <v>13608</v>
      </c>
      <c r="F48" s="78"/>
      <c r="G48" s="79"/>
      <c r="H48" s="80"/>
      <c r="I48" s="80"/>
      <c r="J48" s="80"/>
      <c r="K48" s="80"/>
      <c r="L48" s="80"/>
      <c r="M48" s="127"/>
      <c r="N48" s="127"/>
      <c r="O48" s="127"/>
      <c r="P48" s="127"/>
      <c r="Q48" s="90">
        <f t="shared" ref="Q48" si="28">+SUM(E48:P48)</f>
        <v>13608</v>
      </c>
      <c r="R48" s="279">
        <f>Q48/Q49</f>
        <v>4.5359999999999998E-2</v>
      </c>
      <c r="S48" s="114">
        <v>0</v>
      </c>
    </row>
    <row r="49" spans="1:22" ht="15.75" hidden="1" customHeight="1" outlineLevel="1" x14ac:dyDescent="0.25">
      <c r="A49" s="274"/>
      <c r="B49" s="277"/>
      <c r="C49" s="289"/>
      <c r="D49" s="81" t="s">
        <v>1</v>
      </c>
      <c r="E49" s="154">
        <v>17000</v>
      </c>
      <c r="F49" s="154">
        <v>17000</v>
      </c>
      <c r="G49" s="154">
        <v>113000</v>
      </c>
      <c r="H49" s="154">
        <v>17000</v>
      </c>
      <c r="I49" s="154">
        <v>17000</v>
      </c>
      <c r="J49" s="154">
        <v>17000</v>
      </c>
      <c r="K49" s="154">
        <v>17000</v>
      </c>
      <c r="L49" s="154">
        <v>17000</v>
      </c>
      <c r="M49" s="154">
        <v>17000</v>
      </c>
      <c r="N49" s="154">
        <v>17000</v>
      </c>
      <c r="O49" s="154">
        <v>17000</v>
      </c>
      <c r="P49" s="154">
        <v>17000</v>
      </c>
      <c r="Q49" s="155">
        <f t="shared" ref="Q49" si="29">SUM(E49:P49)</f>
        <v>300000</v>
      </c>
      <c r="R49" s="280"/>
      <c r="S49" s="113">
        <f>Q49/$Q$319</f>
        <v>1.8748242352279475E-2</v>
      </c>
    </row>
    <row r="50" spans="1:22" ht="16.5" hidden="1" customHeight="1" outlineLevel="1" thickBot="1" x14ac:dyDescent="0.3">
      <c r="A50" s="275"/>
      <c r="B50" s="278"/>
      <c r="C50" s="290"/>
      <c r="D50" s="102" t="s">
        <v>15</v>
      </c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4"/>
      <c r="R50" s="281"/>
      <c r="S50" s="107"/>
    </row>
    <row r="51" spans="1:22" ht="15.75" hidden="1" customHeight="1" outlineLevel="1" x14ac:dyDescent="0.25">
      <c r="A51" s="273" t="s">
        <v>11</v>
      </c>
      <c r="B51" s="276" t="s">
        <v>12</v>
      </c>
      <c r="C51" s="288" t="s">
        <v>27</v>
      </c>
      <c r="D51" s="77" t="s">
        <v>14</v>
      </c>
      <c r="E51" s="78">
        <v>8256.5400000000009</v>
      </c>
      <c r="F51" s="78"/>
      <c r="G51" s="79"/>
      <c r="H51" s="80"/>
      <c r="I51" s="80"/>
      <c r="J51" s="80"/>
      <c r="K51" s="80"/>
      <c r="L51" s="80"/>
      <c r="M51" s="127"/>
      <c r="N51" s="127"/>
      <c r="O51" s="127"/>
      <c r="P51" s="127"/>
      <c r="Q51" s="90">
        <f t="shared" ref="Q51" si="30">+SUM(E51:P51)</f>
        <v>8256.5400000000009</v>
      </c>
      <c r="R51" s="279">
        <f>Q51/Q52</f>
        <v>8.2565400000000011E-2</v>
      </c>
      <c r="S51" s="114">
        <v>0</v>
      </c>
    </row>
    <row r="52" spans="1:22" ht="15.75" hidden="1" customHeight="1" outlineLevel="1" x14ac:dyDescent="0.25">
      <c r="A52" s="274"/>
      <c r="B52" s="277"/>
      <c r="C52" s="289"/>
      <c r="D52" s="81" t="s">
        <v>1</v>
      </c>
      <c r="E52" s="154">
        <v>8500</v>
      </c>
      <c r="F52" s="154">
        <v>8500</v>
      </c>
      <c r="G52" s="154">
        <v>8500</v>
      </c>
      <c r="H52" s="154">
        <v>8500</v>
      </c>
      <c r="I52" s="154">
        <v>8500</v>
      </c>
      <c r="J52" s="154">
        <v>8500</v>
      </c>
      <c r="K52" s="154">
        <v>8000</v>
      </c>
      <c r="L52" s="154">
        <v>8000</v>
      </c>
      <c r="M52" s="154">
        <v>8500</v>
      </c>
      <c r="N52" s="154">
        <v>8500</v>
      </c>
      <c r="O52" s="154">
        <v>8000</v>
      </c>
      <c r="P52" s="154">
        <v>8000</v>
      </c>
      <c r="Q52" s="155">
        <f t="shared" ref="Q52" si="31">SUM(E52:P52)</f>
        <v>100000</v>
      </c>
      <c r="R52" s="280"/>
      <c r="S52" s="113">
        <f>Q52/$Q$319</f>
        <v>6.2494141174264913E-3</v>
      </c>
    </row>
    <row r="53" spans="1:22" ht="16.5" hidden="1" customHeight="1" outlineLevel="1" thickBot="1" x14ac:dyDescent="0.3">
      <c r="A53" s="275"/>
      <c r="B53" s="278"/>
      <c r="C53" s="290"/>
      <c r="D53" s="102" t="s">
        <v>15</v>
      </c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4"/>
      <c r="R53" s="281"/>
      <c r="S53" s="107"/>
    </row>
    <row r="54" spans="1:22" ht="15.75" hidden="1" customHeight="1" outlineLevel="1" x14ac:dyDescent="0.25">
      <c r="A54" s="273" t="s">
        <v>11</v>
      </c>
      <c r="B54" s="276" t="s">
        <v>12</v>
      </c>
      <c r="C54" s="288" t="s">
        <v>102</v>
      </c>
      <c r="D54" s="77" t="s">
        <v>14</v>
      </c>
      <c r="E54" s="78">
        <v>206250</v>
      </c>
      <c r="F54" s="78"/>
      <c r="G54" s="79"/>
      <c r="H54" s="80"/>
      <c r="I54" s="80"/>
      <c r="J54" s="80"/>
      <c r="K54" s="80"/>
      <c r="L54" s="80"/>
      <c r="M54" s="78"/>
      <c r="N54" s="78"/>
      <c r="O54" s="79"/>
      <c r="P54" s="80"/>
      <c r="Q54" s="90">
        <f t="shared" ref="Q54" si="32">+SUM(E54:P54)</f>
        <v>206250</v>
      </c>
      <c r="R54" s="279">
        <f>Q54/Q55</f>
        <v>0.4483695652173913</v>
      </c>
      <c r="S54" s="114">
        <v>0</v>
      </c>
    </row>
    <row r="55" spans="1:22" ht="15.75" hidden="1" customHeight="1" outlineLevel="1" x14ac:dyDescent="0.25">
      <c r="A55" s="274"/>
      <c r="B55" s="277"/>
      <c r="C55" s="289"/>
      <c r="D55" s="81" t="s">
        <v>1</v>
      </c>
      <c r="E55" s="154">
        <v>210000</v>
      </c>
      <c r="F55" s="154"/>
      <c r="G55" s="154">
        <v>165000</v>
      </c>
      <c r="H55" s="154"/>
      <c r="I55" s="154"/>
      <c r="J55" s="154"/>
      <c r="K55" s="154"/>
      <c r="L55" s="154"/>
      <c r="M55" s="154"/>
      <c r="N55" s="154">
        <v>85000</v>
      </c>
      <c r="O55" s="154"/>
      <c r="P55" s="154"/>
      <c r="Q55" s="155">
        <f t="shared" ref="Q55" si="33">SUM(E55:P55)</f>
        <v>460000</v>
      </c>
      <c r="R55" s="280"/>
      <c r="S55" s="113">
        <f>Q55/$Q$319</f>
        <v>2.8747304940161859E-2</v>
      </c>
    </row>
    <row r="56" spans="1:22" ht="16.5" hidden="1" customHeight="1" outlineLevel="1" thickBot="1" x14ac:dyDescent="0.3">
      <c r="A56" s="275"/>
      <c r="B56" s="278"/>
      <c r="C56" s="290"/>
      <c r="D56" s="102" t="s">
        <v>15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4"/>
      <c r="R56" s="281"/>
      <c r="S56" s="107"/>
    </row>
    <row r="57" spans="1:22" ht="15.75" hidden="1" customHeight="1" outlineLevel="1" x14ac:dyDescent="0.25">
      <c r="A57" s="273" t="s">
        <v>11</v>
      </c>
      <c r="B57" s="276" t="s">
        <v>12</v>
      </c>
      <c r="C57" s="300" t="s">
        <v>28</v>
      </c>
      <c r="D57" s="77" t="s">
        <v>14</v>
      </c>
      <c r="E57" s="157">
        <v>5868</v>
      </c>
      <c r="F57" s="157"/>
      <c r="G57" s="157"/>
      <c r="H57" s="159"/>
      <c r="I57" s="159"/>
      <c r="J57" s="158"/>
      <c r="K57" s="158"/>
      <c r="L57" s="158"/>
      <c r="M57" s="158"/>
      <c r="N57" s="159"/>
      <c r="O57" s="159"/>
      <c r="P57" s="159"/>
      <c r="Q57" s="90">
        <f t="shared" ref="Q57" si="34">+SUM(E57:P57)</f>
        <v>5868</v>
      </c>
      <c r="R57" s="279">
        <f>Q57/Q58</f>
        <v>4.1914285714285716E-2</v>
      </c>
      <c r="S57" s="114">
        <v>0</v>
      </c>
    </row>
    <row r="58" spans="1:22" ht="15.75" hidden="1" customHeight="1" outlineLevel="1" x14ac:dyDescent="0.25">
      <c r="A58" s="274"/>
      <c r="B58" s="277"/>
      <c r="C58" s="301"/>
      <c r="D58" s="81" t="s">
        <v>1</v>
      </c>
      <c r="E58" s="160">
        <v>10000</v>
      </c>
      <c r="F58" s="160">
        <v>10000</v>
      </c>
      <c r="G58" s="160">
        <v>6000</v>
      </c>
      <c r="H58" s="160">
        <v>10000</v>
      </c>
      <c r="I58" s="160">
        <v>20000</v>
      </c>
      <c r="J58" s="160">
        <v>40000</v>
      </c>
      <c r="K58" s="160">
        <v>5000</v>
      </c>
      <c r="L58" s="160">
        <v>6000</v>
      </c>
      <c r="M58" s="160">
        <v>8000</v>
      </c>
      <c r="N58" s="160">
        <v>8000</v>
      </c>
      <c r="O58" s="160">
        <v>7000</v>
      </c>
      <c r="P58" s="160">
        <v>10000</v>
      </c>
      <c r="Q58" s="155">
        <f t="shared" ref="Q58" si="35">SUM(E58:P58)</f>
        <v>140000</v>
      </c>
      <c r="R58" s="280"/>
      <c r="S58" s="113">
        <f>Q58/$Q$319</f>
        <v>8.7491797643970883E-3</v>
      </c>
    </row>
    <row r="59" spans="1:22" ht="16.5" hidden="1" customHeight="1" outlineLevel="1" thickBot="1" x14ac:dyDescent="0.3">
      <c r="A59" s="275"/>
      <c r="B59" s="278"/>
      <c r="C59" s="302"/>
      <c r="D59" s="102" t="s">
        <v>15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4"/>
      <c r="R59" s="281"/>
      <c r="S59" s="107"/>
    </row>
    <row r="60" spans="1:22" ht="15.75" hidden="1" customHeight="1" outlineLevel="1" x14ac:dyDescent="0.25">
      <c r="A60" s="273" t="s">
        <v>11</v>
      </c>
      <c r="B60" s="276" t="s">
        <v>12</v>
      </c>
      <c r="C60" s="288" t="s">
        <v>29</v>
      </c>
      <c r="D60" s="77" t="s">
        <v>14</v>
      </c>
      <c r="E60" s="78">
        <v>3345</v>
      </c>
      <c r="F60" s="78"/>
      <c r="G60" s="79"/>
      <c r="H60" s="80"/>
      <c r="I60" s="80"/>
      <c r="J60" s="80"/>
      <c r="K60" s="80"/>
      <c r="L60" s="80"/>
      <c r="M60" s="127"/>
      <c r="N60" s="127"/>
      <c r="O60" s="127"/>
      <c r="P60" s="127"/>
      <c r="Q60" s="90">
        <f t="shared" ref="Q60" si="36">+SUM(E60:P60)</f>
        <v>3345</v>
      </c>
      <c r="R60" s="279">
        <f>Q60/Q61</f>
        <v>9.5571428571428571E-2</v>
      </c>
      <c r="S60" s="114">
        <v>0</v>
      </c>
    </row>
    <row r="61" spans="1:22" ht="15.75" hidden="1" customHeight="1" outlineLevel="1" x14ac:dyDescent="0.25">
      <c r="A61" s="274"/>
      <c r="B61" s="277"/>
      <c r="C61" s="289"/>
      <c r="D61" s="81" t="s">
        <v>1</v>
      </c>
      <c r="E61" s="154">
        <v>3000</v>
      </c>
      <c r="F61" s="154"/>
      <c r="G61" s="154">
        <v>10000</v>
      </c>
      <c r="H61" s="154">
        <v>3000</v>
      </c>
      <c r="I61" s="154">
        <v>5500</v>
      </c>
      <c r="J61" s="154"/>
      <c r="K61" s="154"/>
      <c r="L61" s="154">
        <v>5500</v>
      </c>
      <c r="M61" s="154">
        <v>3000</v>
      </c>
      <c r="N61" s="154"/>
      <c r="O61" s="154">
        <v>2500</v>
      </c>
      <c r="P61" s="154">
        <v>2500</v>
      </c>
      <c r="Q61" s="155">
        <f t="shared" ref="Q61" si="37">SUM(E61:P61)</f>
        <v>35000</v>
      </c>
      <c r="R61" s="280"/>
      <c r="S61" s="113">
        <f>Q61/$Q$319</f>
        <v>2.1872949410992721E-3</v>
      </c>
    </row>
    <row r="62" spans="1:22" ht="16.5" hidden="1" customHeight="1" outlineLevel="1" thickBot="1" x14ac:dyDescent="0.3">
      <c r="A62" s="275"/>
      <c r="B62" s="278"/>
      <c r="C62" s="290"/>
      <c r="D62" s="102" t="s">
        <v>15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4"/>
      <c r="R62" s="281"/>
      <c r="S62" s="107"/>
    </row>
    <row r="63" spans="1:22" ht="15.75" hidden="1" customHeight="1" outlineLevel="1" x14ac:dyDescent="0.25">
      <c r="A63" s="273" t="s">
        <v>11</v>
      </c>
      <c r="B63" s="276" t="s">
        <v>30</v>
      </c>
      <c r="C63" s="282" t="s">
        <v>31</v>
      </c>
      <c r="D63" s="77" t="s">
        <v>14</v>
      </c>
      <c r="E63" s="80">
        <v>55460.25</v>
      </c>
      <c r="F63" s="80"/>
      <c r="G63" s="80"/>
      <c r="H63" s="80"/>
      <c r="I63" s="80"/>
      <c r="J63" s="80"/>
      <c r="K63" s="80"/>
      <c r="L63" s="80"/>
      <c r="M63" s="127"/>
      <c r="N63" s="127"/>
      <c r="O63" s="127"/>
      <c r="P63" s="127"/>
      <c r="Q63" s="90">
        <f>+SUM(E63:P63)</f>
        <v>55460.25</v>
      </c>
      <c r="R63" s="285">
        <f>Q63/Q65</f>
        <v>6.0945329670329673E-2</v>
      </c>
      <c r="S63" s="114">
        <v>0</v>
      </c>
    </row>
    <row r="64" spans="1:22" ht="15.75" hidden="1" customHeight="1" outlineLevel="1" x14ac:dyDescent="0.25">
      <c r="A64" s="274"/>
      <c r="B64" s="277"/>
      <c r="C64" s="283"/>
      <c r="D64" s="84" t="s">
        <v>32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91">
        <f>SUM(E64:P64)</f>
        <v>0</v>
      </c>
      <c r="R64" s="286"/>
      <c r="S64" s="115">
        <v>0</v>
      </c>
      <c r="V64" s="139"/>
    </row>
    <row r="65" spans="1:22" ht="15.75" hidden="1" customHeight="1" outlineLevel="1" x14ac:dyDescent="0.25">
      <c r="A65" s="274"/>
      <c r="B65" s="277"/>
      <c r="C65" s="283"/>
      <c r="D65" s="81" t="s">
        <v>1</v>
      </c>
      <c r="E65" s="154">
        <v>85000</v>
      </c>
      <c r="F65" s="154">
        <v>60000</v>
      </c>
      <c r="G65" s="154">
        <v>80000</v>
      </c>
      <c r="H65" s="154">
        <v>90000</v>
      </c>
      <c r="I65" s="154">
        <v>100000</v>
      </c>
      <c r="J65" s="154">
        <v>60000</v>
      </c>
      <c r="K65" s="154">
        <v>60000</v>
      </c>
      <c r="L65" s="154">
        <v>60000</v>
      </c>
      <c r="M65" s="154">
        <v>60000</v>
      </c>
      <c r="N65" s="154">
        <v>85000</v>
      </c>
      <c r="O65" s="154">
        <v>85000</v>
      </c>
      <c r="P65" s="154">
        <v>85000</v>
      </c>
      <c r="Q65" s="156">
        <f>SUM(E65:P65)</f>
        <v>910000</v>
      </c>
      <c r="R65" s="286"/>
      <c r="S65" s="113">
        <f>Q65/$Q$319</f>
        <v>5.6869668468581068E-2</v>
      </c>
      <c r="V65" s="139"/>
    </row>
    <row r="66" spans="1:22" ht="16.5" hidden="1" customHeight="1" outlineLevel="1" thickBot="1" x14ac:dyDescent="0.3">
      <c r="A66" s="275"/>
      <c r="B66" s="278"/>
      <c r="C66" s="284"/>
      <c r="D66" s="102" t="s">
        <v>15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4"/>
      <c r="R66" s="287"/>
      <c r="S66" s="122"/>
    </row>
    <row r="67" spans="1:22" ht="17.25" collapsed="1" thickTop="1" thickBot="1" x14ac:dyDescent="0.25">
      <c r="A67" s="303" t="s">
        <v>11</v>
      </c>
      <c r="B67" s="305" t="s">
        <v>0</v>
      </c>
      <c r="C67" s="303" t="s">
        <v>0</v>
      </c>
      <c r="D67" s="58" t="s">
        <v>14</v>
      </c>
      <c r="E67" s="83">
        <f>SUM(E63,E60,E57,E54,E51,E48,E45,E42,E39,E36,E33,E30,E27,E24,E21,E18,E15,E12,E9,E6,E3,E64)</f>
        <v>535661.17000000004</v>
      </c>
      <c r="F67" s="83">
        <f t="shared" ref="F67:Q67" si="38">SUM(F63,F60,F57,F54,F51,F48,F45,F42,F39,F36,F33,F30,F27,F24,F21,F18,F15,F12,F9,F6,F3,F64)</f>
        <v>0</v>
      </c>
      <c r="G67" s="83">
        <f t="shared" si="38"/>
        <v>0</v>
      </c>
      <c r="H67" s="83">
        <f t="shared" si="38"/>
        <v>0</v>
      </c>
      <c r="I67" s="83">
        <f t="shared" si="38"/>
        <v>0</v>
      </c>
      <c r="J67" s="83">
        <f t="shared" si="38"/>
        <v>0</v>
      </c>
      <c r="K67" s="83">
        <f t="shared" si="38"/>
        <v>0</v>
      </c>
      <c r="L67" s="83">
        <f t="shared" si="38"/>
        <v>0</v>
      </c>
      <c r="M67" s="83">
        <f t="shared" si="38"/>
        <v>0</v>
      </c>
      <c r="N67" s="83">
        <f t="shared" si="38"/>
        <v>0</v>
      </c>
      <c r="O67" s="83">
        <f t="shared" si="38"/>
        <v>0</v>
      </c>
      <c r="P67" s="83">
        <f t="shared" si="38"/>
        <v>0</v>
      </c>
      <c r="Q67" s="83">
        <f t="shared" si="38"/>
        <v>535661.17000000004</v>
      </c>
      <c r="R67" s="329">
        <f>Q67/Q68</f>
        <v>0.11877187804878049</v>
      </c>
      <c r="S67" s="114">
        <v>0</v>
      </c>
      <c r="T67" s="139"/>
    </row>
    <row r="68" spans="1:22" ht="17.25" thickTop="1" thickBot="1" x14ac:dyDescent="0.3">
      <c r="A68" s="304"/>
      <c r="B68" s="306"/>
      <c r="C68" s="304"/>
      <c r="D68" s="59" t="s">
        <v>1</v>
      </c>
      <c r="E68" s="12">
        <f>SUM(E65,E61,E58,E55,E52,E49,E46,E43,E40,E37,E34,E31,E28,E25,E22,E19,E16,E13,E10,E7,E4)</f>
        <v>533500</v>
      </c>
      <c r="F68" s="12">
        <f t="shared" ref="F68:P68" si="39">SUM(F65,F61,F58,F55,F52,F49,F46,F43,F40,F37,F34,F31,F28,F25,F22,F19,F16,F13,F10,F7,F4)</f>
        <v>298700</v>
      </c>
      <c r="G68" s="12">
        <f t="shared" si="39"/>
        <v>770100</v>
      </c>
      <c r="H68" s="12">
        <f t="shared" si="39"/>
        <v>284500</v>
      </c>
      <c r="I68" s="12">
        <f t="shared" si="39"/>
        <v>332950</v>
      </c>
      <c r="J68" s="12">
        <f t="shared" si="39"/>
        <v>275500</v>
      </c>
      <c r="K68" s="12">
        <f t="shared" si="39"/>
        <v>247000</v>
      </c>
      <c r="L68" s="12">
        <f t="shared" si="39"/>
        <v>239500</v>
      </c>
      <c r="M68" s="12">
        <f t="shared" si="39"/>
        <v>576750</v>
      </c>
      <c r="N68" s="12">
        <f t="shared" si="39"/>
        <v>365200</v>
      </c>
      <c r="O68" s="12">
        <f t="shared" si="39"/>
        <v>285650</v>
      </c>
      <c r="P68" s="12">
        <f t="shared" si="39"/>
        <v>300650</v>
      </c>
      <c r="Q68" s="12">
        <f>SUM(Q65,Q61,Q58,Q55,Q52,Q49,Q46,Q43,Q40,Q37,Q34,Q31,Q28,Q25,Q22,Q19,Q16,Q13,Q10,Q7,Q4)</f>
        <v>4510000</v>
      </c>
      <c r="R68" s="329"/>
      <c r="S68" s="113">
        <f>Q68/$Q$319</f>
        <v>0.28184857669593477</v>
      </c>
    </row>
    <row r="69" spans="1:22" ht="17.25" thickTop="1" thickBot="1" x14ac:dyDescent="0.3">
      <c r="A69" s="304"/>
      <c r="B69" s="306"/>
      <c r="C69" s="304"/>
      <c r="D69" s="60" t="s">
        <v>2</v>
      </c>
      <c r="E69" s="14">
        <f t="shared" ref="E69:K69" si="40">E67/E68</f>
        <v>1.0040509278350516</v>
      </c>
      <c r="F69" s="14">
        <f t="shared" si="40"/>
        <v>0</v>
      </c>
      <c r="G69" s="14">
        <f t="shared" si="40"/>
        <v>0</v>
      </c>
      <c r="H69" s="14">
        <f t="shared" si="40"/>
        <v>0</v>
      </c>
      <c r="I69" s="14">
        <f t="shared" si="40"/>
        <v>0</v>
      </c>
      <c r="J69" s="14">
        <f t="shared" si="40"/>
        <v>0</v>
      </c>
      <c r="K69" s="14">
        <f t="shared" si="40"/>
        <v>0</v>
      </c>
      <c r="L69" s="14">
        <v>0</v>
      </c>
      <c r="M69" s="14">
        <v>0</v>
      </c>
      <c r="N69" s="14">
        <v>0</v>
      </c>
      <c r="O69" s="14">
        <v>0</v>
      </c>
      <c r="P69" s="38">
        <v>0</v>
      </c>
      <c r="Q69" s="43">
        <f>Q67/Q68</f>
        <v>0.11877187804878049</v>
      </c>
      <c r="R69" s="329"/>
      <c r="S69" s="135"/>
    </row>
    <row r="70" spans="1:22" ht="17.25" thickTop="1" thickBot="1" x14ac:dyDescent="0.3">
      <c r="A70" s="304"/>
      <c r="B70" s="306"/>
      <c r="C70" s="304"/>
      <c r="D70" s="61" t="s">
        <v>3</v>
      </c>
      <c r="E70" s="15">
        <f t="shared" ref="E70:P70" si="41">E67-E68</f>
        <v>2161.1700000000419</v>
      </c>
      <c r="F70" s="15">
        <f t="shared" si="41"/>
        <v>-298700</v>
      </c>
      <c r="G70" s="15">
        <f t="shared" si="41"/>
        <v>-770100</v>
      </c>
      <c r="H70" s="15">
        <f t="shared" si="41"/>
        <v>-284500</v>
      </c>
      <c r="I70" s="15">
        <f t="shared" si="41"/>
        <v>-332950</v>
      </c>
      <c r="J70" s="15">
        <f t="shared" si="41"/>
        <v>-275500</v>
      </c>
      <c r="K70" s="15">
        <f t="shared" si="41"/>
        <v>-247000</v>
      </c>
      <c r="L70" s="15">
        <f t="shared" si="41"/>
        <v>-239500</v>
      </c>
      <c r="M70" s="15">
        <f t="shared" si="41"/>
        <v>-576750</v>
      </c>
      <c r="N70" s="15">
        <f t="shared" si="41"/>
        <v>-365200</v>
      </c>
      <c r="O70" s="15">
        <f t="shared" si="41"/>
        <v>-285650</v>
      </c>
      <c r="P70" s="15">
        <f t="shared" si="41"/>
        <v>-300650</v>
      </c>
      <c r="Q70" s="44">
        <f>Q67-Q68</f>
        <v>-3974338.83</v>
      </c>
      <c r="R70" s="329"/>
      <c r="S70" s="136"/>
    </row>
    <row r="71" spans="1:22" ht="17.25" thickTop="1" thickBot="1" x14ac:dyDescent="0.3">
      <c r="A71" s="304"/>
      <c r="B71" s="306"/>
      <c r="C71" s="304"/>
      <c r="D71" s="62" t="s">
        <v>4</v>
      </c>
      <c r="E71" s="16">
        <f t="shared" ref="E71:K71" si="42">E70/E67</f>
        <v>4.0345840263165643E-3</v>
      </c>
      <c r="F71" s="16" t="e">
        <f>F70/F67</f>
        <v>#DIV/0!</v>
      </c>
      <c r="G71" s="16" t="e">
        <f t="shared" si="42"/>
        <v>#DIV/0!</v>
      </c>
      <c r="H71" s="16" t="e">
        <f t="shared" si="42"/>
        <v>#DIV/0!</v>
      </c>
      <c r="I71" s="16" t="e">
        <f t="shared" si="42"/>
        <v>#DIV/0!</v>
      </c>
      <c r="J71" s="16" t="e">
        <f t="shared" si="42"/>
        <v>#DIV/0!</v>
      </c>
      <c r="K71" s="16" t="e">
        <f t="shared" si="42"/>
        <v>#DIV/0!</v>
      </c>
      <c r="L71" s="16" t="e">
        <v>#DIV/0!</v>
      </c>
      <c r="M71" s="16" t="e">
        <v>#DIV/0!</v>
      </c>
      <c r="N71" s="16" t="e">
        <v>#DIV/0!</v>
      </c>
      <c r="O71" s="16" t="e">
        <v>#DIV/0!</v>
      </c>
      <c r="P71" s="39" t="e">
        <v>#DIV/0!</v>
      </c>
      <c r="Q71" s="45">
        <f>Q70/Q67</f>
        <v>-7.4195014546228908</v>
      </c>
      <c r="R71" s="17"/>
      <c r="S71" s="109"/>
    </row>
    <row r="72" spans="1:22" ht="16.5" thickTop="1" thickBot="1" x14ac:dyDescent="0.25">
      <c r="A72" s="6"/>
      <c r="B72" s="6"/>
      <c r="C72" s="75"/>
      <c r="D72" s="63" t="s">
        <v>33</v>
      </c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7"/>
      <c r="Q72" s="63"/>
      <c r="R72" s="86"/>
      <c r="S72" s="110"/>
    </row>
    <row r="73" spans="1:22" ht="15.75" hidden="1" customHeight="1" outlineLevel="1" x14ac:dyDescent="0.25">
      <c r="A73" s="273" t="s">
        <v>34</v>
      </c>
      <c r="B73" s="276" t="s">
        <v>12</v>
      </c>
      <c r="C73" s="288" t="s">
        <v>35</v>
      </c>
      <c r="D73" s="77" t="s">
        <v>14</v>
      </c>
      <c r="E73" s="78">
        <v>5898.4</v>
      </c>
      <c r="F73" s="78"/>
      <c r="G73" s="79"/>
      <c r="H73" s="80"/>
      <c r="I73" s="80"/>
      <c r="J73" s="80"/>
      <c r="K73" s="80"/>
      <c r="L73" s="80"/>
      <c r="M73" s="127"/>
      <c r="N73" s="127"/>
      <c r="O73" s="127"/>
      <c r="P73" s="127"/>
      <c r="Q73" s="90">
        <f t="shared" ref="Q73:Q106" si="43">+SUM(E73:P73)</f>
        <v>5898.4</v>
      </c>
      <c r="R73" s="279">
        <f>Q73/Q74</f>
        <v>7.372999999999999E-2</v>
      </c>
      <c r="S73" s="114">
        <v>0</v>
      </c>
    </row>
    <row r="74" spans="1:22" ht="15.75" hidden="1" customHeight="1" outlineLevel="1" x14ac:dyDescent="0.25">
      <c r="A74" s="274"/>
      <c r="B74" s="277"/>
      <c r="C74" s="289"/>
      <c r="D74" s="81" t="s">
        <v>1</v>
      </c>
      <c r="E74" s="82">
        <v>6500</v>
      </c>
      <c r="F74" s="82">
        <v>6500</v>
      </c>
      <c r="G74" s="82">
        <v>6500</v>
      </c>
      <c r="H74" s="82">
        <v>6500</v>
      </c>
      <c r="I74" s="82">
        <v>7500</v>
      </c>
      <c r="J74" s="82">
        <v>6500</v>
      </c>
      <c r="K74" s="82">
        <v>5500</v>
      </c>
      <c r="L74" s="82">
        <v>5500</v>
      </c>
      <c r="M74" s="82">
        <v>7000</v>
      </c>
      <c r="N74" s="82">
        <v>7000</v>
      </c>
      <c r="O74" s="82">
        <v>7500</v>
      </c>
      <c r="P74" s="82">
        <v>7500</v>
      </c>
      <c r="Q74" s="155">
        <f t="shared" ref="Q74:Q107" si="44">SUM(E74:P74)</f>
        <v>80000</v>
      </c>
      <c r="R74" s="280"/>
      <c r="S74" s="113">
        <f>Q74/$Q$319</f>
        <v>4.9995312939411932E-3</v>
      </c>
    </row>
    <row r="75" spans="1:22" ht="16.5" hidden="1" customHeight="1" outlineLevel="1" thickBot="1" x14ac:dyDescent="0.3">
      <c r="A75" s="275"/>
      <c r="B75" s="278"/>
      <c r="C75" s="290"/>
      <c r="D75" s="102" t="s">
        <v>15</v>
      </c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4"/>
      <c r="R75" s="281"/>
      <c r="S75" s="107"/>
    </row>
    <row r="76" spans="1:22" ht="16.5" hidden="1" customHeight="1" outlineLevel="1" x14ac:dyDescent="0.25">
      <c r="A76" s="273" t="s">
        <v>34</v>
      </c>
      <c r="B76" s="137"/>
      <c r="C76" s="293" t="s">
        <v>44</v>
      </c>
      <c r="D76" s="77" t="s">
        <v>14</v>
      </c>
      <c r="E76" s="78">
        <v>10317</v>
      </c>
      <c r="F76" s="78"/>
      <c r="G76" s="79"/>
      <c r="H76" s="80"/>
      <c r="I76" s="80"/>
      <c r="J76" s="80"/>
      <c r="K76" s="80"/>
      <c r="L76" s="80"/>
      <c r="M76" s="80"/>
      <c r="N76" s="80"/>
      <c r="O76" s="80"/>
      <c r="P76" s="80"/>
      <c r="Q76" s="90">
        <f t="shared" si="43"/>
        <v>10317</v>
      </c>
      <c r="R76" s="279">
        <f>Q76/Q77</f>
        <v>6.8779999999999994E-2</v>
      </c>
      <c r="S76" s="114">
        <v>0</v>
      </c>
    </row>
    <row r="77" spans="1:22" ht="16.5" hidden="1" customHeight="1" outlineLevel="1" x14ac:dyDescent="0.25">
      <c r="A77" s="274"/>
      <c r="B77" s="137"/>
      <c r="C77" s="294"/>
      <c r="D77" s="150" t="s">
        <v>1</v>
      </c>
      <c r="E77" s="88">
        <v>12000</v>
      </c>
      <c r="F77" s="88">
        <v>12000</v>
      </c>
      <c r="G77" s="88">
        <v>12000</v>
      </c>
      <c r="H77" s="88">
        <v>12000</v>
      </c>
      <c r="I77" s="88">
        <v>12000</v>
      </c>
      <c r="J77" s="88">
        <v>12000</v>
      </c>
      <c r="K77" s="88">
        <v>12000</v>
      </c>
      <c r="L77" s="88">
        <v>12000</v>
      </c>
      <c r="M77" s="88">
        <v>15000</v>
      </c>
      <c r="N77" s="88">
        <v>12000</v>
      </c>
      <c r="O77" s="88">
        <v>12000</v>
      </c>
      <c r="P77" s="88">
        <v>15000</v>
      </c>
      <c r="Q77" s="155">
        <f t="shared" si="44"/>
        <v>150000</v>
      </c>
      <c r="R77" s="280"/>
      <c r="S77" s="113">
        <f>Q77/$Q$319</f>
        <v>9.3741211761397374E-3</v>
      </c>
    </row>
    <row r="78" spans="1:22" ht="16.5" hidden="1" customHeight="1" outlineLevel="1" thickBot="1" x14ac:dyDescent="0.3">
      <c r="A78" s="275"/>
      <c r="B78" s="137"/>
      <c r="C78" s="295"/>
      <c r="D78" s="151" t="s">
        <v>15</v>
      </c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4"/>
      <c r="R78" s="281"/>
      <c r="S78" s="107"/>
    </row>
    <row r="79" spans="1:22" ht="16.5" hidden="1" customHeight="1" outlineLevel="1" x14ac:dyDescent="0.25">
      <c r="A79" s="273" t="s">
        <v>34</v>
      </c>
      <c r="B79" s="137"/>
      <c r="C79" s="293" t="s">
        <v>104</v>
      </c>
      <c r="D79" s="77" t="s">
        <v>14</v>
      </c>
      <c r="E79" s="78"/>
      <c r="F79" s="78"/>
      <c r="G79" s="79"/>
      <c r="H79" s="80"/>
      <c r="I79" s="80"/>
      <c r="J79" s="80"/>
      <c r="K79" s="80"/>
      <c r="L79" s="80"/>
      <c r="M79" s="80"/>
      <c r="N79" s="80"/>
      <c r="O79" s="80"/>
      <c r="P79" s="80"/>
      <c r="Q79" s="90">
        <f t="shared" ref="Q79" si="45">+SUM(E79:P79)</f>
        <v>0</v>
      </c>
      <c r="R79" s="279">
        <f>Q79/Q80</f>
        <v>0</v>
      </c>
      <c r="S79" s="114">
        <v>0</v>
      </c>
    </row>
    <row r="80" spans="1:22" ht="16.5" hidden="1" customHeight="1" outlineLevel="1" x14ac:dyDescent="0.25">
      <c r="A80" s="274"/>
      <c r="B80" s="137"/>
      <c r="C80" s="294"/>
      <c r="D80" s="150" t="s">
        <v>1</v>
      </c>
      <c r="E80" s="88">
        <v>10000</v>
      </c>
      <c r="F80" s="88">
        <v>10000</v>
      </c>
      <c r="G80" s="88">
        <v>10000</v>
      </c>
      <c r="H80" s="88">
        <v>10000</v>
      </c>
      <c r="I80" s="88">
        <v>10000</v>
      </c>
      <c r="J80" s="88">
        <v>8000</v>
      </c>
      <c r="K80" s="88"/>
      <c r="L80" s="88">
        <v>8000</v>
      </c>
      <c r="M80" s="88">
        <v>10000</v>
      </c>
      <c r="N80" s="88">
        <v>10000</v>
      </c>
      <c r="O80" s="88">
        <v>10000</v>
      </c>
      <c r="P80" s="88">
        <v>10000</v>
      </c>
      <c r="Q80" s="155">
        <f t="shared" ref="Q80" si="46">SUM(E80:P80)</f>
        <v>106000</v>
      </c>
      <c r="R80" s="280"/>
      <c r="S80" s="113">
        <f>Q80/$Q$319</f>
        <v>6.6243789644720805E-3</v>
      </c>
    </row>
    <row r="81" spans="1:19" ht="16.5" hidden="1" customHeight="1" outlineLevel="1" thickBot="1" x14ac:dyDescent="0.3">
      <c r="A81" s="275"/>
      <c r="B81" s="137"/>
      <c r="C81" s="295"/>
      <c r="D81" s="151" t="s">
        <v>15</v>
      </c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4"/>
      <c r="R81" s="281"/>
      <c r="S81" s="107"/>
    </row>
    <row r="82" spans="1:19" ht="15.75" hidden="1" customHeight="1" outlineLevel="1" x14ac:dyDescent="0.25">
      <c r="A82" s="273" t="s">
        <v>34</v>
      </c>
      <c r="B82" s="276" t="s">
        <v>12</v>
      </c>
      <c r="C82" s="293" t="s">
        <v>36</v>
      </c>
      <c r="D82" s="77" t="s">
        <v>14</v>
      </c>
      <c r="E82" s="78">
        <v>904</v>
      </c>
      <c r="F82" s="78"/>
      <c r="G82" s="79"/>
      <c r="H82" s="80"/>
      <c r="I82" s="80"/>
      <c r="J82" s="80"/>
      <c r="K82" s="80"/>
      <c r="L82" s="80"/>
      <c r="M82" s="80"/>
      <c r="N82" s="80"/>
      <c r="O82" s="80"/>
      <c r="P82" s="80"/>
      <c r="Q82" s="90">
        <f t="shared" si="43"/>
        <v>904</v>
      </c>
      <c r="R82" s="279">
        <f>Q82/Q83</f>
        <v>3.0133333333333335E-2</v>
      </c>
      <c r="S82" s="114">
        <v>0</v>
      </c>
    </row>
    <row r="83" spans="1:19" ht="15.75" hidden="1" customHeight="1" outlineLevel="1" x14ac:dyDescent="0.25">
      <c r="A83" s="274"/>
      <c r="B83" s="277"/>
      <c r="C83" s="294"/>
      <c r="D83" s="81" t="s">
        <v>1</v>
      </c>
      <c r="E83" s="88">
        <v>2500</v>
      </c>
      <c r="F83" s="88">
        <v>2500</v>
      </c>
      <c r="G83" s="88">
        <v>2500</v>
      </c>
      <c r="H83" s="88">
        <v>2500</v>
      </c>
      <c r="I83" s="88">
        <v>2500</v>
      </c>
      <c r="J83" s="88">
        <v>2500</v>
      </c>
      <c r="K83" s="88">
        <v>2500</v>
      </c>
      <c r="L83" s="88">
        <v>2500</v>
      </c>
      <c r="M83" s="88">
        <v>2500</v>
      </c>
      <c r="N83" s="88">
        <v>2500</v>
      </c>
      <c r="O83" s="88">
        <v>2500</v>
      </c>
      <c r="P83" s="88">
        <v>2500</v>
      </c>
      <c r="Q83" s="155">
        <f t="shared" si="44"/>
        <v>30000</v>
      </c>
      <c r="R83" s="280"/>
      <c r="S83" s="113">
        <f>Q83/$Q$319</f>
        <v>1.8748242352279473E-3</v>
      </c>
    </row>
    <row r="84" spans="1:19" ht="16.5" hidden="1" customHeight="1" outlineLevel="1" thickBot="1" x14ac:dyDescent="0.3">
      <c r="A84" s="275"/>
      <c r="B84" s="278"/>
      <c r="C84" s="295"/>
      <c r="D84" s="102" t="s">
        <v>15</v>
      </c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4"/>
      <c r="R84" s="281"/>
      <c r="S84" s="107"/>
    </row>
    <row r="85" spans="1:19" ht="15.75" hidden="1" customHeight="1" outlineLevel="1" x14ac:dyDescent="0.25">
      <c r="A85" s="273" t="s">
        <v>34</v>
      </c>
      <c r="B85" s="276" t="s">
        <v>12</v>
      </c>
      <c r="C85" s="293" t="s">
        <v>103</v>
      </c>
      <c r="D85" s="77" t="s">
        <v>14</v>
      </c>
      <c r="E85" s="78">
        <v>2522</v>
      </c>
      <c r="F85" s="79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90">
        <f t="shared" si="43"/>
        <v>2522</v>
      </c>
      <c r="R85" s="279">
        <f>Q85/Q86</f>
        <v>6.3049999999999995E-2</v>
      </c>
      <c r="S85" s="114">
        <v>0</v>
      </c>
    </row>
    <row r="86" spans="1:19" ht="15.75" hidden="1" customHeight="1" outlineLevel="1" x14ac:dyDescent="0.25">
      <c r="A86" s="274"/>
      <c r="B86" s="277"/>
      <c r="C86" s="294"/>
      <c r="D86" s="81" t="s">
        <v>1</v>
      </c>
      <c r="E86" s="88">
        <v>3500</v>
      </c>
      <c r="F86" s="88">
        <v>3500</v>
      </c>
      <c r="G86" s="88">
        <v>3500</v>
      </c>
      <c r="H86" s="88">
        <v>3500</v>
      </c>
      <c r="I86" s="88">
        <v>3500</v>
      </c>
      <c r="J86" s="88">
        <v>3500</v>
      </c>
      <c r="K86" s="88">
        <v>3500</v>
      </c>
      <c r="L86" s="88">
        <v>3500</v>
      </c>
      <c r="M86" s="88">
        <v>3000</v>
      </c>
      <c r="N86" s="88">
        <v>3000</v>
      </c>
      <c r="O86" s="88">
        <v>3000</v>
      </c>
      <c r="P86" s="88">
        <v>3000</v>
      </c>
      <c r="Q86" s="155">
        <f t="shared" si="44"/>
        <v>40000</v>
      </c>
      <c r="R86" s="280"/>
      <c r="S86" s="113">
        <f>Q86/$Q$319</f>
        <v>2.4997656469705966E-3</v>
      </c>
    </row>
    <row r="87" spans="1:19" ht="16.5" hidden="1" customHeight="1" outlineLevel="1" thickBot="1" x14ac:dyDescent="0.3">
      <c r="A87" s="275"/>
      <c r="B87" s="278"/>
      <c r="C87" s="295"/>
      <c r="D87" s="102" t="s">
        <v>15</v>
      </c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4"/>
      <c r="R87" s="281"/>
      <c r="S87" s="107"/>
    </row>
    <row r="88" spans="1:19" ht="15.75" hidden="1" customHeight="1" outlineLevel="1" x14ac:dyDescent="0.25">
      <c r="A88" s="273" t="s">
        <v>34</v>
      </c>
      <c r="B88" s="276" t="s">
        <v>12</v>
      </c>
      <c r="C88" s="293" t="s">
        <v>37</v>
      </c>
      <c r="D88" s="77" t="s">
        <v>14</v>
      </c>
      <c r="E88" s="78">
        <v>530</v>
      </c>
      <c r="F88" s="78"/>
      <c r="G88" s="79"/>
      <c r="H88" s="80"/>
      <c r="I88" s="80"/>
      <c r="J88" s="80"/>
      <c r="K88" s="80"/>
      <c r="L88" s="80"/>
      <c r="M88" s="80"/>
      <c r="N88" s="80"/>
      <c r="O88" s="80"/>
      <c r="P88" s="80"/>
      <c r="Q88" s="90">
        <f t="shared" si="43"/>
        <v>530</v>
      </c>
      <c r="R88" s="279">
        <f>Q88/Q89</f>
        <v>2.6499999999999999E-2</v>
      </c>
      <c r="S88" s="114">
        <v>0</v>
      </c>
    </row>
    <row r="89" spans="1:19" ht="15.75" hidden="1" customHeight="1" outlineLevel="1" x14ac:dyDescent="0.25">
      <c r="A89" s="274"/>
      <c r="B89" s="277"/>
      <c r="C89" s="294"/>
      <c r="D89" s="81" t="s">
        <v>1</v>
      </c>
      <c r="E89" s="88">
        <v>1500</v>
      </c>
      <c r="F89" s="88">
        <v>1500</v>
      </c>
      <c r="G89" s="88">
        <v>1500</v>
      </c>
      <c r="H89" s="88">
        <v>2000</v>
      </c>
      <c r="I89" s="88">
        <v>1500</v>
      </c>
      <c r="J89" s="88">
        <v>1500</v>
      </c>
      <c r="K89" s="88">
        <v>1500</v>
      </c>
      <c r="L89" s="88">
        <v>1500</v>
      </c>
      <c r="M89" s="88">
        <v>2000</v>
      </c>
      <c r="N89" s="88">
        <v>1500</v>
      </c>
      <c r="O89" s="88">
        <v>2000</v>
      </c>
      <c r="P89" s="88">
        <v>2000</v>
      </c>
      <c r="Q89" s="155">
        <f t="shared" si="44"/>
        <v>20000</v>
      </c>
      <c r="R89" s="280"/>
      <c r="S89" s="113">
        <f>Q89/$Q$319</f>
        <v>1.2498828234852983E-3</v>
      </c>
    </row>
    <row r="90" spans="1:19" ht="16.5" hidden="1" customHeight="1" outlineLevel="1" thickBot="1" x14ac:dyDescent="0.3">
      <c r="A90" s="275"/>
      <c r="B90" s="278"/>
      <c r="C90" s="295"/>
      <c r="D90" s="102" t="s">
        <v>15</v>
      </c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4"/>
      <c r="R90" s="281"/>
      <c r="S90" s="107"/>
    </row>
    <row r="91" spans="1:19" ht="15.75" hidden="1" customHeight="1" outlineLevel="1" x14ac:dyDescent="0.25">
      <c r="A91" s="273" t="s">
        <v>34</v>
      </c>
      <c r="B91" s="276" t="s">
        <v>12</v>
      </c>
      <c r="C91" s="293" t="s">
        <v>38</v>
      </c>
      <c r="D91" s="77" t="s">
        <v>14</v>
      </c>
      <c r="E91" s="78">
        <v>295.5</v>
      </c>
      <c r="F91" s="79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90">
        <f t="shared" si="43"/>
        <v>295.5</v>
      </c>
      <c r="R91" s="279">
        <f>Q91/Q92</f>
        <v>7.3875E-3</v>
      </c>
      <c r="S91" s="114">
        <v>0</v>
      </c>
    </row>
    <row r="92" spans="1:19" ht="15.75" hidden="1" customHeight="1" outlineLevel="1" x14ac:dyDescent="0.25">
      <c r="A92" s="274"/>
      <c r="B92" s="277"/>
      <c r="C92" s="294"/>
      <c r="D92" s="81" t="s">
        <v>1</v>
      </c>
      <c r="E92" s="88">
        <v>3500</v>
      </c>
      <c r="F92" s="88">
        <v>3500</v>
      </c>
      <c r="G92" s="88">
        <v>3500</v>
      </c>
      <c r="H92" s="88">
        <v>3500</v>
      </c>
      <c r="I92" s="88">
        <v>3500</v>
      </c>
      <c r="J92" s="88">
        <v>3500</v>
      </c>
      <c r="K92" s="88">
        <v>3500</v>
      </c>
      <c r="L92" s="88">
        <v>3500</v>
      </c>
      <c r="M92" s="88">
        <v>3000</v>
      </c>
      <c r="N92" s="88">
        <v>3000</v>
      </c>
      <c r="O92" s="88">
        <v>3000</v>
      </c>
      <c r="P92" s="88">
        <v>3000</v>
      </c>
      <c r="Q92" s="155">
        <f t="shared" si="44"/>
        <v>40000</v>
      </c>
      <c r="R92" s="280"/>
      <c r="S92" s="113">
        <f>Q92/$Q$319</f>
        <v>2.4997656469705966E-3</v>
      </c>
    </row>
    <row r="93" spans="1:19" ht="16.5" hidden="1" customHeight="1" outlineLevel="1" thickBot="1" x14ac:dyDescent="0.3">
      <c r="A93" s="275"/>
      <c r="B93" s="278"/>
      <c r="C93" s="295"/>
      <c r="D93" s="102" t="s">
        <v>15</v>
      </c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4"/>
      <c r="R93" s="281"/>
      <c r="S93" s="107"/>
    </row>
    <row r="94" spans="1:19" ht="15.75" hidden="1" customHeight="1" outlineLevel="1" x14ac:dyDescent="0.25">
      <c r="A94" s="273" t="s">
        <v>34</v>
      </c>
      <c r="B94" s="276" t="s">
        <v>12</v>
      </c>
      <c r="C94" s="293" t="s">
        <v>39</v>
      </c>
      <c r="D94" s="77" t="s">
        <v>14</v>
      </c>
      <c r="E94" s="78">
        <v>3703.5</v>
      </c>
      <c r="F94" s="78"/>
      <c r="G94" s="79"/>
      <c r="H94" s="80"/>
      <c r="I94" s="80"/>
      <c r="J94" s="80"/>
      <c r="K94" s="80"/>
      <c r="L94" s="80"/>
      <c r="M94" s="80"/>
      <c r="N94" s="80"/>
      <c r="O94" s="80"/>
      <c r="P94" s="80"/>
      <c r="Q94" s="90">
        <f t="shared" si="43"/>
        <v>3703.5</v>
      </c>
      <c r="R94" s="279">
        <f>Q94/Q95</f>
        <v>7.4069999999999997E-2</v>
      </c>
      <c r="S94" s="114">
        <v>0</v>
      </c>
    </row>
    <row r="95" spans="1:19" ht="15.75" hidden="1" customHeight="1" outlineLevel="1" x14ac:dyDescent="0.25">
      <c r="A95" s="274"/>
      <c r="B95" s="277"/>
      <c r="C95" s="294"/>
      <c r="D95" s="81" t="s">
        <v>1</v>
      </c>
      <c r="E95" s="88">
        <v>4500</v>
      </c>
      <c r="F95" s="88">
        <v>4500</v>
      </c>
      <c r="G95" s="88">
        <v>5500</v>
      </c>
      <c r="H95" s="88">
        <v>5500</v>
      </c>
      <c r="I95" s="88">
        <v>2500</v>
      </c>
      <c r="J95" s="88">
        <v>2500</v>
      </c>
      <c r="K95" s="88">
        <v>2500</v>
      </c>
      <c r="L95" s="88">
        <v>5500</v>
      </c>
      <c r="M95" s="88">
        <v>2500</v>
      </c>
      <c r="N95" s="88">
        <v>3500</v>
      </c>
      <c r="O95" s="88">
        <v>5500</v>
      </c>
      <c r="P95" s="88">
        <v>5500</v>
      </c>
      <c r="Q95" s="155">
        <f t="shared" si="44"/>
        <v>50000</v>
      </c>
      <c r="R95" s="280"/>
      <c r="S95" s="113">
        <f>Q95/$Q$319</f>
        <v>3.1247070587132456E-3</v>
      </c>
    </row>
    <row r="96" spans="1:19" ht="16.5" hidden="1" customHeight="1" outlineLevel="1" thickBot="1" x14ac:dyDescent="0.3">
      <c r="A96" s="275"/>
      <c r="B96" s="278"/>
      <c r="C96" s="295"/>
      <c r="D96" s="102" t="s">
        <v>15</v>
      </c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4"/>
      <c r="R96" s="281"/>
      <c r="S96" s="107"/>
    </row>
    <row r="97" spans="1:22" ht="15.75" hidden="1" customHeight="1" outlineLevel="1" x14ac:dyDescent="0.25">
      <c r="A97" s="273" t="s">
        <v>34</v>
      </c>
      <c r="B97" s="276" t="s">
        <v>12</v>
      </c>
      <c r="C97" s="300" t="s">
        <v>121</v>
      </c>
      <c r="D97" s="77" t="s">
        <v>14</v>
      </c>
      <c r="E97" s="78">
        <v>24388.35</v>
      </c>
      <c r="F97" s="79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90">
        <f t="shared" si="43"/>
        <v>24388.35</v>
      </c>
      <c r="R97" s="279">
        <f>Q97/Q98</f>
        <v>6.4179868421052624E-2</v>
      </c>
      <c r="S97" s="114">
        <v>0</v>
      </c>
    </row>
    <row r="98" spans="1:22" ht="15.75" hidden="1" customHeight="1" outlineLevel="1" x14ac:dyDescent="0.25">
      <c r="A98" s="274"/>
      <c r="B98" s="277"/>
      <c r="C98" s="301"/>
      <c r="D98" s="81" t="s">
        <v>1</v>
      </c>
      <c r="E98" s="88">
        <v>30000</v>
      </c>
      <c r="F98" s="88">
        <v>30000</v>
      </c>
      <c r="G98" s="88">
        <v>30000</v>
      </c>
      <c r="H98" s="88">
        <v>45000</v>
      </c>
      <c r="I98" s="88">
        <v>30000</v>
      </c>
      <c r="J98" s="88">
        <v>30000</v>
      </c>
      <c r="K98" s="88">
        <v>25000</v>
      </c>
      <c r="L98" s="88">
        <v>40000</v>
      </c>
      <c r="M98" s="88">
        <v>30000</v>
      </c>
      <c r="N98" s="88">
        <v>30000</v>
      </c>
      <c r="O98" s="88">
        <v>30000</v>
      </c>
      <c r="P98" s="88">
        <v>30000</v>
      </c>
      <c r="Q98" s="155">
        <f t="shared" si="44"/>
        <v>380000</v>
      </c>
      <c r="R98" s="280"/>
      <c r="S98" s="113">
        <f>Q98/$Q$319</f>
        <v>2.3747773646220667E-2</v>
      </c>
    </row>
    <row r="99" spans="1:22" ht="16.5" hidden="1" customHeight="1" outlineLevel="1" thickBot="1" x14ac:dyDescent="0.3">
      <c r="A99" s="275"/>
      <c r="B99" s="278"/>
      <c r="C99" s="302"/>
      <c r="D99" s="102" t="s">
        <v>15</v>
      </c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4"/>
      <c r="R99" s="281"/>
      <c r="S99" s="107"/>
    </row>
    <row r="100" spans="1:22" ht="15.75" hidden="1" customHeight="1" outlineLevel="1" x14ac:dyDescent="0.25">
      <c r="A100" s="273" t="s">
        <v>34</v>
      </c>
      <c r="B100" s="276" t="s">
        <v>12</v>
      </c>
      <c r="C100" s="300" t="s">
        <v>40</v>
      </c>
      <c r="D100" s="77" t="s">
        <v>14</v>
      </c>
      <c r="E100" s="78">
        <v>21379.41</v>
      </c>
      <c r="F100" s="79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90">
        <f t="shared" si="43"/>
        <v>21379.41</v>
      </c>
      <c r="R100" s="279">
        <f>Q100/Q101</f>
        <v>7.12647E-2</v>
      </c>
      <c r="S100" s="114">
        <v>0</v>
      </c>
    </row>
    <row r="101" spans="1:22" ht="15.75" hidden="1" customHeight="1" outlineLevel="1" x14ac:dyDescent="0.25">
      <c r="A101" s="274"/>
      <c r="B101" s="277"/>
      <c r="C101" s="301"/>
      <c r="D101" s="81" t="s">
        <v>1</v>
      </c>
      <c r="E101" s="106">
        <v>25000</v>
      </c>
      <c r="F101" s="106">
        <v>25000</v>
      </c>
      <c r="G101" s="106">
        <v>25000</v>
      </c>
      <c r="H101" s="106">
        <v>25000</v>
      </c>
      <c r="I101" s="106">
        <v>25000</v>
      </c>
      <c r="J101" s="106">
        <v>25000</v>
      </c>
      <c r="K101" s="106">
        <v>25000</v>
      </c>
      <c r="L101" s="106">
        <v>25000</v>
      </c>
      <c r="M101" s="106">
        <v>25000</v>
      </c>
      <c r="N101" s="106">
        <v>25000</v>
      </c>
      <c r="O101" s="106">
        <v>25000</v>
      </c>
      <c r="P101" s="106">
        <v>25000</v>
      </c>
      <c r="Q101" s="155">
        <f t="shared" si="44"/>
        <v>300000</v>
      </c>
      <c r="R101" s="280"/>
      <c r="S101" s="113">
        <f>Q101/$Q$319</f>
        <v>1.8748242352279475E-2</v>
      </c>
    </row>
    <row r="102" spans="1:22" ht="16.5" hidden="1" customHeight="1" outlineLevel="1" thickBot="1" x14ac:dyDescent="0.3">
      <c r="A102" s="275"/>
      <c r="B102" s="278"/>
      <c r="C102" s="302"/>
      <c r="D102" s="105" t="s">
        <v>15</v>
      </c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4"/>
      <c r="R102" s="281"/>
      <c r="S102" s="107"/>
    </row>
    <row r="103" spans="1:22" ht="16.5" hidden="1" customHeight="1" outlineLevel="1" x14ac:dyDescent="0.25">
      <c r="A103" s="273" t="s">
        <v>34</v>
      </c>
      <c r="B103" s="276" t="s">
        <v>12</v>
      </c>
      <c r="C103" s="300" t="s">
        <v>128</v>
      </c>
      <c r="D103" s="77" t="s">
        <v>14</v>
      </c>
      <c r="E103" s="78">
        <v>8619.5</v>
      </c>
      <c r="F103" s="78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90">
        <f t="shared" ref="Q103" si="47">+SUM(E103:P103)</f>
        <v>8619.5</v>
      </c>
      <c r="R103" s="279">
        <f>Q103/Q104</f>
        <v>0.34477999999999998</v>
      </c>
      <c r="S103" s="114">
        <v>0</v>
      </c>
    </row>
    <row r="104" spans="1:22" ht="16.5" hidden="1" customHeight="1" outlineLevel="1" x14ac:dyDescent="0.25">
      <c r="A104" s="274"/>
      <c r="B104" s="277"/>
      <c r="C104" s="301"/>
      <c r="D104" s="81" t="s">
        <v>1</v>
      </c>
      <c r="E104" s="88">
        <v>2000</v>
      </c>
      <c r="F104" s="88">
        <v>2000</v>
      </c>
      <c r="G104" s="88">
        <v>2000</v>
      </c>
      <c r="H104" s="88">
        <v>2000</v>
      </c>
      <c r="I104" s="88">
        <v>2000</v>
      </c>
      <c r="J104" s="88">
        <v>2000</v>
      </c>
      <c r="K104" s="88">
        <v>2000</v>
      </c>
      <c r="L104" s="88">
        <v>2200</v>
      </c>
      <c r="M104" s="88">
        <v>2200</v>
      </c>
      <c r="N104" s="88">
        <v>2200</v>
      </c>
      <c r="O104" s="88">
        <v>2200</v>
      </c>
      <c r="P104" s="88">
        <v>2200</v>
      </c>
      <c r="Q104" s="155">
        <f t="shared" ref="Q104" si="48">SUM(E104:P104)</f>
        <v>25000</v>
      </c>
      <c r="R104" s="280"/>
      <c r="S104" s="113">
        <f>Q104/$Q$319</f>
        <v>1.5623535293566228E-3</v>
      </c>
    </row>
    <row r="105" spans="1:22" ht="16.5" hidden="1" customHeight="1" outlineLevel="1" thickBot="1" x14ac:dyDescent="0.3">
      <c r="A105" s="275"/>
      <c r="B105" s="278"/>
      <c r="C105" s="302"/>
      <c r="D105" s="102" t="s">
        <v>15</v>
      </c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4"/>
      <c r="R105" s="281"/>
      <c r="S105" s="107"/>
    </row>
    <row r="106" spans="1:22" ht="15.75" hidden="1" customHeight="1" outlineLevel="1" x14ac:dyDescent="0.25">
      <c r="A106" s="273" t="s">
        <v>34</v>
      </c>
      <c r="B106" s="276" t="s">
        <v>12</v>
      </c>
      <c r="C106" s="300" t="s">
        <v>120</v>
      </c>
      <c r="D106" s="77" t="s">
        <v>14</v>
      </c>
      <c r="E106" s="78">
        <v>1058</v>
      </c>
      <c r="F106" s="78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90">
        <f t="shared" si="43"/>
        <v>1058</v>
      </c>
      <c r="R106" s="279">
        <f>Q106/Q107</f>
        <v>1.4106666666666667E-2</v>
      </c>
      <c r="S106" s="114">
        <v>0</v>
      </c>
    </row>
    <row r="107" spans="1:22" ht="15.75" hidden="1" customHeight="1" outlineLevel="1" x14ac:dyDescent="0.25">
      <c r="A107" s="274"/>
      <c r="B107" s="277"/>
      <c r="C107" s="301"/>
      <c r="D107" s="81" t="s">
        <v>1</v>
      </c>
      <c r="E107" s="88">
        <v>0</v>
      </c>
      <c r="F107" s="88">
        <v>5000</v>
      </c>
      <c r="G107" s="88">
        <v>0</v>
      </c>
      <c r="H107" s="88">
        <v>5000</v>
      </c>
      <c r="I107" s="88">
        <v>0</v>
      </c>
      <c r="J107" s="88">
        <v>0</v>
      </c>
      <c r="K107" s="88">
        <v>0</v>
      </c>
      <c r="L107" s="88">
        <v>5000</v>
      </c>
      <c r="M107" s="88"/>
      <c r="N107" s="88">
        <v>30000</v>
      </c>
      <c r="O107" s="88">
        <v>10000</v>
      </c>
      <c r="P107" s="88">
        <v>20000</v>
      </c>
      <c r="Q107" s="155">
        <f t="shared" si="44"/>
        <v>75000</v>
      </c>
      <c r="R107" s="280"/>
      <c r="S107" s="113">
        <f>Q107/$Q$319</f>
        <v>4.6870605880698687E-3</v>
      </c>
    </row>
    <row r="108" spans="1:22" ht="16.5" hidden="1" customHeight="1" outlineLevel="1" thickBot="1" x14ac:dyDescent="0.3">
      <c r="A108" s="275"/>
      <c r="B108" s="278"/>
      <c r="C108" s="302"/>
      <c r="D108" s="102" t="s">
        <v>15</v>
      </c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4"/>
      <c r="R108" s="281"/>
      <c r="S108" s="107"/>
    </row>
    <row r="109" spans="1:22" ht="15.75" hidden="1" customHeight="1" outlineLevel="1" x14ac:dyDescent="0.25">
      <c r="A109" s="273" t="s">
        <v>34</v>
      </c>
      <c r="B109" s="276" t="s">
        <v>30</v>
      </c>
      <c r="C109" s="293" t="s">
        <v>127</v>
      </c>
      <c r="D109" s="77" t="s">
        <v>14</v>
      </c>
      <c r="E109" s="78">
        <v>23315.01</v>
      </c>
      <c r="F109" s="78"/>
      <c r="G109" s="79"/>
      <c r="H109" s="80"/>
      <c r="I109" s="80"/>
      <c r="J109" s="80"/>
      <c r="K109" s="80"/>
      <c r="L109" s="80"/>
      <c r="M109" s="80"/>
      <c r="N109" s="80"/>
      <c r="O109" s="80"/>
      <c r="P109" s="80"/>
      <c r="Q109" s="90">
        <f>+SUM(E109:P109)</f>
        <v>23315.01</v>
      </c>
      <c r="R109" s="311">
        <f>Q109/Q111</f>
        <v>4.9084231578947368E-2</v>
      </c>
      <c r="S109" s="114">
        <v>0</v>
      </c>
    </row>
    <row r="110" spans="1:22" ht="15.75" hidden="1" customHeight="1" outlineLevel="1" x14ac:dyDescent="0.25">
      <c r="A110" s="274"/>
      <c r="B110" s="277"/>
      <c r="C110" s="294"/>
      <c r="D110" s="84" t="s">
        <v>32</v>
      </c>
      <c r="E110" s="161"/>
      <c r="F110" s="162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91">
        <f>SUM(E110:P110)</f>
        <v>0</v>
      </c>
      <c r="R110" s="312"/>
      <c r="S110" s="113"/>
    </row>
    <row r="111" spans="1:22" ht="15.75" hidden="1" customHeight="1" outlineLevel="1" x14ac:dyDescent="0.25">
      <c r="A111" s="274"/>
      <c r="B111" s="277"/>
      <c r="C111" s="294"/>
      <c r="D111" s="81" t="s">
        <v>1</v>
      </c>
      <c r="E111" s="123">
        <v>40000</v>
      </c>
      <c r="F111" s="123">
        <v>40000</v>
      </c>
      <c r="G111" s="123">
        <v>40000</v>
      </c>
      <c r="H111" s="123">
        <v>40000</v>
      </c>
      <c r="I111" s="123">
        <v>40000</v>
      </c>
      <c r="J111" s="123">
        <v>40000</v>
      </c>
      <c r="K111" s="123">
        <v>40000</v>
      </c>
      <c r="L111" s="123">
        <v>39000</v>
      </c>
      <c r="M111" s="123">
        <v>39000</v>
      </c>
      <c r="N111" s="123">
        <v>39000</v>
      </c>
      <c r="O111" s="123">
        <v>39000</v>
      </c>
      <c r="P111" s="123">
        <v>39000</v>
      </c>
      <c r="Q111" s="124">
        <f>SUM(E111:P111)</f>
        <v>475000</v>
      </c>
      <c r="R111" s="312"/>
      <c r="S111" s="113">
        <f>Q111/$Q$319</f>
        <v>2.9684717057775832E-2</v>
      </c>
      <c r="V111" s="139"/>
    </row>
    <row r="112" spans="1:22" ht="16.5" hidden="1" customHeight="1" outlineLevel="1" thickBot="1" x14ac:dyDescent="0.3">
      <c r="A112" s="275"/>
      <c r="B112" s="278"/>
      <c r="C112" s="295"/>
      <c r="D112" s="102" t="s">
        <v>15</v>
      </c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4"/>
      <c r="R112" s="313"/>
      <c r="S112" s="107"/>
    </row>
    <row r="113" spans="1:23" ht="17.25" collapsed="1" thickTop="1" thickBot="1" x14ac:dyDescent="0.25">
      <c r="A113" s="303" t="s">
        <v>34</v>
      </c>
      <c r="B113" s="305" t="s">
        <v>0</v>
      </c>
      <c r="C113" s="303" t="s">
        <v>0</v>
      </c>
      <c r="D113" s="56" t="s">
        <v>14</v>
      </c>
      <c r="E113" s="89">
        <f>SUM(E73,E76,E82,E85,E88,E91,E94,E97,E100,E106,E109+E110+E79+E103)</f>
        <v>102930.67</v>
      </c>
      <c r="F113" s="89">
        <f t="shared" ref="F113:P113" si="49">SUM(F73,F76,F82,F85,F88,F91,F94,F97,F100,F106,F109+F110+F79+F103)</f>
        <v>0</v>
      </c>
      <c r="G113" s="89">
        <f t="shared" si="49"/>
        <v>0</v>
      </c>
      <c r="H113" s="89">
        <f t="shared" si="49"/>
        <v>0</v>
      </c>
      <c r="I113" s="89">
        <f t="shared" si="49"/>
        <v>0</v>
      </c>
      <c r="J113" s="89">
        <f t="shared" si="49"/>
        <v>0</v>
      </c>
      <c r="K113" s="89">
        <f t="shared" si="49"/>
        <v>0</v>
      </c>
      <c r="L113" s="89">
        <f t="shared" si="49"/>
        <v>0</v>
      </c>
      <c r="M113" s="89">
        <f t="shared" si="49"/>
        <v>0</v>
      </c>
      <c r="N113" s="89">
        <f t="shared" si="49"/>
        <v>0</v>
      </c>
      <c r="O113" s="89">
        <f t="shared" si="49"/>
        <v>0</v>
      </c>
      <c r="P113" s="89">
        <f t="shared" si="49"/>
        <v>0</v>
      </c>
      <c r="Q113" s="89">
        <f>SUM(Q73,Q76,Q82,Q85,Q88,Q91,Q94,Q97,Q100,Q106,Q109+Q110+Q79+Q103)</f>
        <v>102930.67</v>
      </c>
      <c r="R113" s="307">
        <f>Q113/Q114</f>
        <v>5.8120084697910787E-2</v>
      </c>
      <c r="S113" s="114">
        <v>0</v>
      </c>
      <c r="T113" s="139"/>
    </row>
    <row r="114" spans="1:23" ht="17.25" thickTop="1" thickBot="1" x14ac:dyDescent="0.3">
      <c r="A114" s="304"/>
      <c r="B114" s="306"/>
      <c r="C114" s="304"/>
      <c r="D114" s="64" t="s">
        <v>1</v>
      </c>
      <c r="E114" s="7">
        <f>SUM(E74,E77,E80,E83,E86,E89,E92,E95,E98,E101,E104,E107,E111)</f>
        <v>141000</v>
      </c>
      <c r="F114" s="7">
        <f t="shared" ref="F114:P114" si="50">SUM(F74,F77,F80,F83,F86,F89,F92,F95,F98,F101,F104,F107,F111)</f>
        <v>146000</v>
      </c>
      <c r="G114" s="7">
        <f t="shared" si="50"/>
        <v>142000</v>
      </c>
      <c r="H114" s="7">
        <f t="shared" si="50"/>
        <v>162500</v>
      </c>
      <c r="I114" s="7">
        <f t="shared" si="50"/>
        <v>140000</v>
      </c>
      <c r="J114" s="7">
        <f t="shared" si="50"/>
        <v>137000</v>
      </c>
      <c r="K114" s="7">
        <f t="shared" si="50"/>
        <v>123000</v>
      </c>
      <c r="L114" s="7">
        <f t="shared" si="50"/>
        <v>153200</v>
      </c>
      <c r="M114" s="7">
        <f t="shared" si="50"/>
        <v>141200</v>
      </c>
      <c r="N114" s="7">
        <f t="shared" si="50"/>
        <v>168700</v>
      </c>
      <c r="O114" s="7">
        <f t="shared" si="50"/>
        <v>151700</v>
      </c>
      <c r="P114" s="7">
        <f t="shared" si="50"/>
        <v>164700</v>
      </c>
      <c r="Q114" s="7">
        <f>SUM(Q74,Q77,Q80,Q83,Q86,Q89,Q92,Q95,Q98,Q101,Q104,Q107,Q111)</f>
        <v>1771000</v>
      </c>
      <c r="R114" s="307"/>
      <c r="S114" s="113">
        <f>Q114/$Q$319</f>
        <v>0.11067712401962317</v>
      </c>
    </row>
    <row r="115" spans="1:23" ht="17.25" thickTop="1" thickBot="1" x14ac:dyDescent="0.3">
      <c r="A115" s="304"/>
      <c r="B115" s="306"/>
      <c r="C115" s="304"/>
      <c r="D115" s="57" t="s">
        <v>2</v>
      </c>
      <c r="E115" s="8">
        <f>E113/E114</f>
        <v>0.73000475177304969</v>
      </c>
      <c r="F115" s="8">
        <f>F113/F114</f>
        <v>0</v>
      </c>
      <c r="G115" s="8">
        <f t="shared" ref="G115:P115" si="51">G113/G114</f>
        <v>0</v>
      </c>
      <c r="H115" s="8">
        <f t="shared" si="51"/>
        <v>0</v>
      </c>
      <c r="I115" s="8">
        <f t="shared" si="51"/>
        <v>0</v>
      </c>
      <c r="J115" s="8">
        <f t="shared" si="51"/>
        <v>0</v>
      </c>
      <c r="K115" s="8">
        <f t="shared" si="51"/>
        <v>0</v>
      </c>
      <c r="L115" s="8">
        <f t="shared" si="51"/>
        <v>0</v>
      </c>
      <c r="M115" s="8">
        <f t="shared" si="51"/>
        <v>0</v>
      </c>
      <c r="N115" s="8">
        <f t="shared" si="51"/>
        <v>0</v>
      </c>
      <c r="O115" s="8">
        <f t="shared" si="51"/>
        <v>0</v>
      </c>
      <c r="P115" s="8">
        <f t="shared" si="51"/>
        <v>0</v>
      </c>
      <c r="Q115" s="46">
        <f>Q113/Q114</f>
        <v>5.8120084697910787E-2</v>
      </c>
      <c r="R115" s="307"/>
      <c r="S115" s="107"/>
    </row>
    <row r="116" spans="1:23" ht="17.25" thickTop="1" thickBot="1" x14ac:dyDescent="0.3">
      <c r="A116" s="304"/>
      <c r="B116" s="306"/>
      <c r="C116" s="304"/>
      <c r="D116" s="65" t="s">
        <v>3</v>
      </c>
      <c r="E116" s="10">
        <f t="shared" ref="E116:P116" si="52">E113-E114</f>
        <v>-38069.33</v>
      </c>
      <c r="F116" s="10">
        <f t="shared" si="52"/>
        <v>-146000</v>
      </c>
      <c r="G116" s="10">
        <f t="shared" si="52"/>
        <v>-142000</v>
      </c>
      <c r="H116" s="10">
        <f t="shared" si="52"/>
        <v>-162500</v>
      </c>
      <c r="I116" s="10">
        <f t="shared" si="52"/>
        <v>-140000</v>
      </c>
      <c r="J116" s="10">
        <f t="shared" si="52"/>
        <v>-137000</v>
      </c>
      <c r="K116" s="10">
        <f t="shared" si="52"/>
        <v>-123000</v>
      </c>
      <c r="L116" s="10">
        <f t="shared" si="52"/>
        <v>-153200</v>
      </c>
      <c r="M116" s="10">
        <f t="shared" si="52"/>
        <v>-141200</v>
      </c>
      <c r="N116" s="10">
        <f t="shared" si="52"/>
        <v>-168700</v>
      </c>
      <c r="O116" s="10">
        <f t="shared" si="52"/>
        <v>-151700</v>
      </c>
      <c r="P116" s="10">
        <f t="shared" si="52"/>
        <v>-164700</v>
      </c>
      <c r="Q116" s="47">
        <f>Q113-Q114</f>
        <v>-1668069.33</v>
      </c>
      <c r="R116" s="307"/>
      <c r="S116" s="108"/>
    </row>
    <row r="117" spans="1:23" ht="16.5" thickBot="1" x14ac:dyDescent="0.3">
      <c r="A117" s="304"/>
      <c r="B117" s="306"/>
      <c r="C117" s="304"/>
      <c r="D117" s="66" t="s">
        <v>4</v>
      </c>
      <c r="E117" s="9">
        <f t="shared" ref="E117:P117" si="53">E116/E113</f>
        <v>-0.36985409693728799</v>
      </c>
      <c r="F117" s="9" t="e">
        <f t="shared" si="53"/>
        <v>#DIV/0!</v>
      </c>
      <c r="G117" s="9" t="e">
        <f t="shared" si="53"/>
        <v>#DIV/0!</v>
      </c>
      <c r="H117" s="9" t="e">
        <f t="shared" si="53"/>
        <v>#DIV/0!</v>
      </c>
      <c r="I117" s="9" t="e">
        <f t="shared" si="53"/>
        <v>#DIV/0!</v>
      </c>
      <c r="J117" s="9" t="e">
        <f t="shared" si="53"/>
        <v>#DIV/0!</v>
      </c>
      <c r="K117" s="9" t="e">
        <f t="shared" si="53"/>
        <v>#DIV/0!</v>
      </c>
      <c r="L117" s="9" t="e">
        <f t="shared" si="53"/>
        <v>#DIV/0!</v>
      </c>
      <c r="M117" s="9" t="e">
        <f t="shared" si="53"/>
        <v>#DIV/0!</v>
      </c>
      <c r="N117" s="9" t="e">
        <f t="shared" si="53"/>
        <v>#DIV/0!</v>
      </c>
      <c r="O117" s="9" t="e">
        <f t="shared" si="53"/>
        <v>#DIV/0!</v>
      </c>
      <c r="P117" s="9" t="e">
        <f t="shared" si="53"/>
        <v>#DIV/0!</v>
      </c>
      <c r="Q117" s="48">
        <f>Q116/Q113</f>
        <v>-16.205756068623668</v>
      </c>
      <c r="R117" s="18"/>
      <c r="S117" s="109"/>
    </row>
    <row r="118" spans="1:23" ht="15.75" thickBot="1" x14ac:dyDescent="0.25">
      <c r="A118" s="6"/>
      <c r="B118" s="6"/>
      <c r="C118" s="75"/>
      <c r="D118" s="67" t="s">
        <v>33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40"/>
      <c r="Q118" s="67"/>
      <c r="R118" s="36"/>
      <c r="S118" s="110"/>
    </row>
    <row r="119" spans="1:23" ht="15.75" hidden="1" customHeight="1" outlineLevel="1" x14ac:dyDescent="0.25">
      <c r="A119" s="273" t="s">
        <v>94</v>
      </c>
      <c r="B119" s="276" t="s">
        <v>12</v>
      </c>
      <c r="C119" s="308" t="s">
        <v>76</v>
      </c>
      <c r="D119" s="77" t="s">
        <v>14</v>
      </c>
      <c r="E119" s="78">
        <v>41692.9</v>
      </c>
      <c r="F119" s="78"/>
      <c r="G119" s="79"/>
      <c r="H119" s="80"/>
      <c r="I119" s="80"/>
      <c r="J119" s="80"/>
      <c r="K119" s="80"/>
      <c r="L119" s="80"/>
      <c r="M119" s="80"/>
      <c r="N119" s="80"/>
      <c r="O119" s="80"/>
      <c r="P119" s="80"/>
      <c r="Q119" s="90">
        <f t="shared" ref="Q119:Q155" si="54">+SUM(E119:P119)</f>
        <v>41692.9</v>
      </c>
      <c r="R119" s="279">
        <f>Q119/Q120</f>
        <v>0.11912257142857144</v>
      </c>
      <c r="S119" s="114">
        <v>0</v>
      </c>
      <c r="T119" s="139"/>
      <c r="W119" s="149"/>
    </row>
    <row r="120" spans="1:23" ht="15.75" hidden="1" customHeight="1" outlineLevel="1" x14ac:dyDescent="0.25">
      <c r="A120" s="274"/>
      <c r="B120" s="277"/>
      <c r="C120" s="309"/>
      <c r="D120" s="81" t="s">
        <v>1</v>
      </c>
      <c r="E120" s="88">
        <v>30000</v>
      </c>
      <c r="F120" s="88">
        <v>30000</v>
      </c>
      <c r="G120" s="88">
        <v>30000</v>
      </c>
      <c r="H120" s="88">
        <v>30000</v>
      </c>
      <c r="I120" s="88">
        <v>30000</v>
      </c>
      <c r="J120" s="88">
        <v>25000</v>
      </c>
      <c r="K120" s="88">
        <v>25000</v>
      </c>
      <c r="L120" s="88">
        <v>30000</v>
      </c>
      <c r="M120" s="88">
        <v>30000</v>
      </c>
      <c r="N120" s="88">
        <v>30000</v>
      </c>
      <c r="O120" s="88">
        <v>30000</v>
      </c>
      <c r="P120" s="88">
        <v>30000</v>
      </c>
      <c r="Q120" s="155">
        <f t="shared" ref="Q120:Q156" si="55">SUM(E120:P120)</f>
        <v>350000</v>
      </c>
      <c r="R120" s="280"/>
      <c r="S120" s="113">
        <f>Q120/$Q$319</f>
        <v>2.1872949410992718E-2</v>
      </c>
      <c r="T120" s="139"/>
    </row>
    <row r="121" spans="1:23" ht="16.5" hidden="1" customHeight="1" outlineLevel="1" thickBot="1" x14ac:dyDescent="0.3">
      <c r="A121" s="275"/>
      <c r="B121" s="278"/>
      <c r="C121" s="310"/>
      <c r="D121" s="102" t="s">
        <v>15</v>
      </c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4"/>
      <c r="R121" s="281"/>
      <c r="S121" s="107"/>
      <c r="T121" s="139"/>
    </row>
    <row r="122" spans="1:23" ht="15.75" hidden="1" customHeight="1" outlineLevel="1" x14ac:dyDescent="0.25">
      <c r="A122" s="273" t="s">
        <v>94</v>
      </c>
      <c r="B122" s="276" t="s">
        <v>12</v>
      </c>
      <c r="C122" s="308" t="s">
        <v>41</v>
      </c>
      <c r="D122" s="77" t="s">
        <v>14</v>
      </c>
      <c r="E122" s="78">
        <v>6716.5</v>
      </c>
      <c r="F122" s="78"/>
      <c r="G122" s="79"/>
      <c r="H122" s="80"/>
      <c r="I122" s="139"/>
      <c r="J122" s="80"/>
      <c r="K122" s="80"/>
      <c r="L122" s="80"/>
      <c r="M122" s="80"/>
      <c r="N122" s="80"/>
      <c r="O122" s="80"/>
      <c r="P122" s="80"/>
      <c r="Q122" s="90">
        <f t="shared" si="54"/>
        <v>6716.5</v>
      </c>
      <c r="R122" s="279">
        <f>Q122/Q123</f>
        <v>4.9025547445255474E-2</v>
      </c>
      <c r="S122" s="114">
        <v>0</v>
      </c>
      <c r="T122" s="139"/>
    </row>
    <row r="123" spans="1:23" ht="15.75" hidden="1" customHeight="1" outlineLevel="1" x14ac:dyDescent="0.25">
      <c r="A123" s="274"/>
      <c r="B123" s="277"/>
      <c r="C123" s="309"/>
      <c r="D123" s="81" t="s">
        <v>1</v>
      </c>
      <c r="E123" s="88">
        <v>15000</v>
      </c>
      <c r="F123" s="88">
        <v>18000</v>
      </c>
      <c r="G123" s="88">
        <v>9500</v>
      </c>
      <c r="H123" s="88">
        <v>15000</v>
      </c>
      <c r="I123" s="88">
        <v>15000</v>
      </c>
      <c r="J123" s="88">
        <v>9500</v>
      </c>
      <c r="K123" s="88">
        <v>2000</v>
      </c>
      <c r="L123" s="88">
        <v>10000</v>
      </c>
      <c r="M123" s="88">
        <v>12000</v>
      </c>
      <c r="N123" s="88">
        <v>10000</v>
      </c>
      <c r="O123" s="88">
        <v>11000</v>
      </c>
      <c r="P123" s="88">
        <v>10000</v>
      </c>
      <c r="Q123" s="155">
        <f t="shared" si="55"/>
        <v>137000</v>
      </c>
      <c r="R123" s="280"/>
      <c r="S123" s="113">
        <f>Q123/$Q$319</f>
        <v>8.5616973408742924E-3</v>
      </c>
      <c r="T123" s="139"/>
    </row>
    <row r="124" spans="1:23" ht="16.5" hidden="1" customHeight="1" outlineLevel="1" thickBot="1" x14ac:dyDescent="0.3">
      <c r="A124" s="275"/>
      <c r="B124" s="278"/>
      <c r="C124" s="310"/>
      <c r="D124" s="102" t="s">
        <v>15</v>
      </c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4"/>
      <c r="R124" s="281"/>
      <c r="S124" s="107"/>
      <c r="T124" s="139"/>
    </row>
    <row r="125" spans="1:23" ht="15.75" hidden="1" outlineLevel="1" collapsed="1" x14ac:dyDescent="0.25">
      <c r="A125" s="273" t="s">
        <v>94</v>
      </c>
      <c r="B125" s="276" t="s">
        <v>12</v>
      </c>
      <c r="C125" s="308" t="s">
        <v>73</v>
      </c>
      <c r="D125" s="77" t="s">
        <v>14</v>
      </c>
      <c r="E125" s="78">
        <v>3357.5</v>
      </c>
      <c r="F125" s="78"/>
      <c r="G125" s="79"/>
      <c r="H125" s="80"/>
      <c r="I125" s="80"/>
      <c r="J125" s="80"/>
      <c r="K125" s="80"/>
      <c r="L125" s="80"/>
      <c r="M125" s="80"/>
      <c r="N125" s="80"/>
      <c r="O125" s="80"/>
      <c r="P125" s="80"/>
      <c r="Q125" s="90">
        <f t="shared" si="54"/>
        <v>3357.5</v>
      </c>
      <c r="R125" s="279">
        <f>Q125/Q126</f>
        <v>2.5826923076923077E-2</v>
      </c>
      <c r="S125" s="114">
        <v>0</v>
      </c>
    </row>
    <row r="126" spans="1:23" ht="15.75" hidden="1" outlineLevel="1" x14ac:dyDescent="0.25">
      <c r="A126" s="274"/>
      <c r="B126" s="277"/>
      <c r="C126" s="309"/>
      <c r="D126" s="81" t="s">
        <v>1</v>
      </c>
      <c r="E126" s="88">
        <v>10000</v>
      </c>
      <c r="F126" s="88">
        <v>15000</v>
      </c>
      <c r="G126" s="88">
        <v>10000</v>
      </c>
      <c r="H126" s="88">
        <v>10000</v>
      </c>
      <c r="I126" s="88">
        <v>15000</v>
      </c>
      <c r="J126" s="88">
        <v>10000</v>
      </c>
      <c r="K126" s="88">
        <v>5000</v>
      </c>
      <c r="L126" s="88">
        <v>10000</v>
      </c>
      <c r="M126" s="88">
        <v>15000</v>
      </c>
      <c r="N126" s="88">
        <v>10000</v>
      </c>
      <c r="O126" s="88">
        <v>10000</v>
      </c>
      <c r="P126" s="88">
        <v>10000</v>
      </c>
      <c r="Q126" s="155">
        <f t="shared" si="55"/>
        <v>130000</v>
      </c>
      <c r="R126" s="280"/>
      <c r="S126" s="113">
        <f>Q126/$Q$319</f>
        <v>8.1242383526544393E-3</v>
      </c>
    </row>
    <row r="127" spans="1:23" ht="16.5" hidden="1" outlineLevel="1" thickBot="1" x14ac:dyDescent="0.3">
      <c r="A127" s="275"/>
      <c r="B127" s="278"/>
      <c r="C127" s="310"/>
      <c r="D127" s="102" t="s">
        <v>15</v>
      </c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4"/>
      <c r="R127" s="281"/>
      <c r="S127" s="107"/>
    </row>
    <row r="128" spans="1:23" ht="15.75" hidden="1" customHeight="1" outlineLevel="2" x14ac:dyDescent="0.25">
      <c r="A128" s="273" t="s">
        <v>94</v>
      </c>
      <c r="B128" s="276" t="s">
        <v>12</v>
      </c>
      <c r="C128" s="308" t="s">
        <v>77</v>
      </c>
      <c r="D128" s="77" t="s">
        <v>14</v>
      </c>
      <c r="E128" s="78">
        <v>156981.5</v>
      </c>
      <c r="F128" s="78"/>
      <c r="G128" s="79"/>
      <c r="H128" s="80"/>
      <c r="I128" s="80"/>
      <c r="J128" s="80"/>
      <c r="K128" s="80"/>
      <c r="L128" s="80"/>
      <c r="M128" s="80"/>
      <c r="N128" s="80"/>
      <c r="O128" s="80"/>
      <c r="P128" s="80"/>
      <c r="Q128" s="90">
        <f t="shared" si="54"/>
        <v>156981.5</v>
      </c>
      <c r="R128" s="279">
        <f>Q128/Q129</f>
        <v>0.28542090909090911</v>
      </c>
      <c r="S128" s="114">
        <v>0</v>
      </c>
      <c r="T128" s="139"/>
    </row>
    <row r="129" spans="1:20" ht="15.75" hidden="1" customHeight="1" outlineLevel="2" x14ac:dyDescent="0.25">
      <c r="A129" s="274"/>
      <c r="B129" s="277"/>
      <c r="C129" s="309"/>
      <c r="D129" s="81" t="s">
        <v>1</v>
      </c>
      <c r="E129" s="88">
        <v>45000</v>
      </c>
      <c r="F129" s="88">
        <v>50000</v>
      </c>
      <c r="G129" s="88">
        <v>50000</v>
      </c>
      <c r="H129" s="88">
        <v>50000</v>
      </c>
      <c r="I129" s="88">
        <v>45000</v>
      </c>
      <c r="J129" s="88">
        <v>45000</v>
      </c>
      <c r="K129" s="88">
        <v>35000</v>
      </c>
      <c r="L129" s="88">
        <v>35000</v>
      </c>
      <c r="M129" s="88">
        <v>45000</v>
      </c>
      <c r="N129" s="88">
        <v>50000</v>
      </c>
      <c r="O129" s="88">
        <v>50000</v>
      </c>
      <c r="P129" s="88">
        <v>50000</v>
      </c>
      <c r="Q129" s="155">
        <f t="shared" si="55"/>
        <v>550000</v>
      </c>
      <c r="R129" s="280"/>
      <c r="S129" s="113">
        <f>Q129/$Q$319</f>
        <v>3.4371777645845702E-2</v>
      </c>
      <c r="T129" s="139"/>
    </row>
    <row r="130" spans="1:20" ht="16.5" hidden="1" customHeight="1" outlineLevel="2" thickBot="1" x14ac:dyDescent="0.3">
      <c r="A130" s="275"/>
      <c r="B130" s="278"/>
      <c r="C130" s="310"/>
      <c r="D130" s="102" t="s">
        <v>15</v>
      </c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4"/>
      <c r="R130" s="281"/>
      <c r="S130" s="107"/>
      <c r="T130" s="139"/>
    </row>
    <row r="131" spans="1:20" ht="15.75" hidden="1" customHeight="1" outlineLevel="2" x14ac:dyDescent="0.25">
      <c r="A131" s="273" t="s">
        <v>94</v>
      </c>
      <c r="B131" s="276" t="s">
        <v>12</v>
      </c>
      <c r="C131" s="308" t="s">
        <v>49</v>
      </c>
      <c r="D131" s="152" t="s">
        <v>14</v>
      </c>
      <c r="E131" s="79">
        <v>7076.05</v>
      </c>
      <c r="F131" s="79"/>
      <c r="G131" s="79"/>
      <c r="H131" s="79"/>
      <c r="I131" s="79"/>
      <c r="J131" s="79"/>
      <c r="K131" s="79"/>
      <c r="L131" s="80"/>
      <c r="M131" s="80"/>
      <c r="N131" s="80"/>
      <c r="O131" s="80"/>
      <c r="P131" s="80"/>
      <c r="Q131" s="90">
        <f t="shared" si="54"/>
        <v>7076.05</v>
      </c>
      <c r="R131" s="279">
        <f>Q131/Q132</f>
        <v>5.4431153846153844E-2</v>
      </c>
      <c r="S131" s="114">
        <v>0</v>
      </c>
      <c r="T131" s="139"/>
    </row>
    <row r="132" spans="1:20" ht="15.75" hidden="1" customHeight="1" outlineLevel="2" x14ac:dyDescent="0.25">
      <c r="A132" s="274"/>
      <c r="B132" s="277"/>
      <c r="C132" s="309"/>
      <c r="D132" s="150" t="s">
        <v>1</v>
      </c>
      <c r="E132" s="88">
        <v>15000</v>
      </c>
      <c r="F132" s="88">
        <v>10000</v>
      </c>
      <c r="G132" s="88">
        <v>15000</v>
      </c>
      <c r="H132" s="88">
        <v>10000</v>
      </c>
      <c r="I132" s="88">
        <v>10000</v>
      </c>
      <c r="J132" s="88">
        <v>10000</v>
      </c>
      <c r="K132" s="88">
        <v>10000</v>
      </c>
      <c r="L132" s="88">
        <v>10000</v>
      </c>
      <c r="M132" s="88">
        <v>10000</v>
      </c>
      <c r="N132" s="88">
        <v>10000</v>
      </c>
      <c r="O132" s="88">
        <v>10000</v>
      </c>
      <c r="P132" s="88">
        <v>10000</v>
      </c>
      <c r="Q132" s="155">
        <f t="shared" si="55"/>
        <v>130000</v>
      </c>
      <c r="R132" s="280"/>
      <c r="S132" s="113">
        <f>Q132/$Q$319</f>
        <v>8.1242383526544393E-3</v>
      </c>
      <c r="T132" s="139"/>
    </row>
    <row r="133" spans="1:20" ht="16.5" hidden="1" customHeight="1" outlineLevel="2" thickBot="1" x14ac:dyDescent="0.3">
      <c r="A133" s="275"/>
      <c r="B133" s="278"/>
      <c r="C133" s="310"/>
      <c r="D133" s="151" t="s">
        <v>15</v>
      </c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4"/>
      <c r="R133" s="281"/>
      <c r="S133" s="107"/>
      <c r="T133" s="139"/>
    </row>
    <row r="134" spans="1:20" ht="15.75" hidden="1" customHeight="1" outlineLevel="2" x14ac:dyDescent="0.25">
      <c r="A134" s="273" t="s">
        <v>94</v>
      </c>
      <c r="B134" s="276" t="s">
        <v>12</v>
      </c>
      <c r="C134" s="308" t="s">
        <v>43</v>
      </c>
      <c r="D134" s="77" t="s">
        <v>14</v>
      </c>
      <c r="E134" s="78">
        <v>12043.1</v>
      </c>
      <c r="F134" s="78"/>
      <c r="G134" s="78"/>
      <c r="H134" s="78"/>
      <c r="I134" s="78"/>
      <c r="J134" s="78"/>
      <c r="K134" s="78"/>
      <c r="L134" s="125"/>
      <c r="M134" s="125"/>
      <c r="N134" s="125"/>
      <c r="O134" s="125"/>
      <c r="P134" s="125"/>
      <c r="Q134" s="90">
        <f t="shared" si="54"/>
        <v>12043.1</v>
      </c>
      <c r="R134" s="279">
        <f>Q134/Q135</f>
        <v>0.10564122807017544</v>
      </c>
      <c r="S134" s="114">
        <v>0</v>
      </c>
      <c r="T134" s="139"/>
    </row>
    <row r="135" spans="1:20" ht="15.75" hidden="1" customHeight="1" outlineLevel="2" x14ac:dyDescent="0.25">
      <c r="A135" s="274"/>
      <c r="B135" s="277"/>
      <c r="C135" s="309"/>
      <c r="D135" s="81" t="s">
        <v>1</v>
      </c>
      <c r="E135" s="88">
        <v>15000</v>
      </c>
      <c r="F135" s="88">
        <v>10000</v>
      </c>
      <c r="G135" s="88">
        <v>11000</v>
      </c>
      <c r="H135" s="88">
        <v>13000</v>
      </c>
      <c r="I135" s="88">
        <v>6000</v>
      </c>
      <c r="J135" s="88">
        <v>15000</v>
      </c>
      <c r="K135" s="88">
        <v>7000</v>
      </c>
      <c r="L135" s="88">
        <v>14000</v>
      </c>
      <c r="M135" s="88">
        <v>8000</v>
      </c>
      <c r="N135" s="88">
        <v>5000</v>
      </c>
      <c r="O135" s="88">
        <v>5000</v>
      </c>
      <c r="P135" s="88">
        <v>5000</v>
      </c>
      <c r="Q135" s="155">
        <f t="shared" si="55"/>
        <v>114000</v>
      </c>
      <c r="R135" s="280"/>
      <c r="S135" s="113">
        <f>Q135/$Q$319</f>
        <v>7.1243320938662001E-3</v>
      </c>
      <c r="T135" s="139"/>
    </row>
    <row r="136" spans="1:20" ht="16.5" hidden="1" customHeight="1" outlineLevel="2" thickBot="1" x14ac:dyDescent="0.3">
      <c r="A136" s="275"/>
      <c r="B136" s="278"/>
      <c r="C136" s="310"/>
      <c r="D136" s="102" t="s">
        <v>15</v>
      </c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4"/>
      <c r="R136" s="281"/>
      <c r="S136" s="107"/>
      <c r="T136" s="139"/>
    </row>
    <row r="137" spans="1:20" ht="15.75" hidden="1" customHeight="1" outlineLevel="2" x14ac:dyDescent="0.25">
      <c r="A137" s="273" t="s">
        <v>94</v>
      </c>
      <c r="B137" s="276" t="s">
        <v>12</v>
      </c>
      <c r="C137" s="308" t="s">
        <v>42</v>
      </c>
      <c r="D137" s="77" t="s">
        <v>14</v>
      </c>
      <c r="E137" s="78">
        <v>709.2</v>
      </c>
      <c r="F137" s="78"/>
      <c r="G137" s="79"/>
      <c r="H137" s="80"/>
      <c r="I137" s="80"/>
      <c r="J137" s="80"/>
      <c r="K137" s="80"/>
      <c r="L137" s="80"/>
      <c r="M137" s="80"/>
      <c r="N137" s="80"/>
      <c r="O137" s="80"/>
      <c r="P137" s="80"/>
      <c r="Q137" s="90">
        <f t="shared" si="54"/>
        <v>709.2</v>
      </c>
      <c r="R137" s="279">
        <f>Q137/Q138</f>
        <v>1.4184E-2</v>
      </c>
      <c r="S137" s="114">
        <v>0</v>
      </c>
      <c r="T137" s="139"/>
    </row>
    <row r="138" spans="1:20" ht="15.75" hidden="1" customHeight="1" outlineLevel="2" x14ac:dyDescent="0.25">
      <c r="A138" s="274"/>
      <c r="B138" s="277"/>
      <c r="C138" s="309"/>
      <c r="D138" s="81" t="s">
        <v>1</v>
      </c>
      <c r="E138" s="88">
        <v>4165</v>
      </c>
      <c r="F138" s="88">
        <v>4167</v>
      </c>
      <c r="G138" s="88">
        <v>4167</v>
      </c>
      <c r="H138" s="88">
        <v>4167</v>
      </c>
      <c r="I138" s="88">
        <v>4167</v>
      </c>
      <c r="J138" s="88">
        <v>4167</v>
      </c>
      <c r="K138" s="88">
        <v>4167</v>
      </c>
      <c r="L138" s="88">
        <v>4167</v>
      </c>
      <c r="M138" s="88">
        <v>4167</v>
      </c>
      <c r="N138" s="88">
        <v>4167</v>
      </c>
      <c r="O138" s="88">
        <v>4167</v>
      </c>
      <c r="P138" s="88">
        <v>4165</v>
      </c>
      <c r="Q138" s="155">
        <f t="shared" si="55"/>
        <v>50000</v>
      </c>
      <c r="R138" s="280"/>
      <c r="S138" s="113">
        <f>Q138/$Q$319</f>
        <v>3.1247070587132456E-3</v>
      </c>
      <c r="T138" s="139"/>
    </row>
    <row r="139" spans="1:20" ht="16.5" hidden="1" customHeight="1" outlineLevel="2" thickBot="1" x14ac:dyDescent="0.3">
      <c r="A139" s="275"/>
      <c r="B139" s="278"/>
      <c r="C139" s="310"/>
      <c r="D139" s="102" t="s">
        <v>15</v>
      </c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4"/>
      <c r="R139" s="281"/>
      <c r="S139" s="107"/>
      <c r="T139" s="139"/>
    </row>
    <row r="140" spans="1:20" ht="15.75" hidden="1" customHeight="1" outlineLevel="2" x14ac:dyDescent="0.25">
      <c r="A140" s="273" t="s">
        <v>94</v>
      </c>
      <c r="B140" s="276" t="s">
        <v>12</v>
      </c>
      <c r="C140" s="308" t="s">
        <v>125</v>
      </c>
      <c r="D140" s="77" t="s">
        <v>14</v>
      </c>
      <c r="E140" s="78">
        <v>3537.95</v>
      </c>
      <c r="F140" s="78"/>
      <c r="G140" s="78"/>
      <c r="H140" s="80"/>
      <c r="I140" s="80"/>
      <c r="J140" s="80"/>
      <c r="K140" s="80"/>
      <c r="L140" s="80"/>
      <c r="M140" s="80"/>
      <c r="N140" s="80"/>
      <c r="O140" s="80"/>
      <c r="P140" s="80"/>
      <c r="Q140" s="90">
        <f t="shared" si="54"/>
        <v>3537.95</v>
      </c>
      <c r="R140" s="279">
        <f>Q140/Q141</f>
        <v>8.8448749999999993E-2</v>
      </c>
      <c r="S140" s="114">
        <v>0</v>
      </c>
      <c r="T140" s="139"/>
    </row>
    <row r="141" spans="1:20" ht="15.75" hidden="1" customHeight="1" outlineLevel="2" x14ac:dyDescent="0.25">
      <c r="A141" s="274"/>
      <c r="B141" s="277"/>
      <c r="C141" s="309"/>
      <c r="D141" s="81" t="s">
        <v>1</v>
      </c>
      <c r="E141" s="88">
        <v>3500</v>
      </c>
      <c r="F141" s="88">
        <v>3500</v>
      </c>
      <c r="G141" s="88">
        <v>3500</v>
      </c>
      <c r="H141" s="88">
        <v>2500</v>
      </c>
      <c r="I141" s="88">
        <v>3500</v>
      </c>
      <c r="J141" s="88">
        <v>3500</v>
      </c>
      <c r="K141" s="88">
        <v>3500</v>
      </c>
      <c r="L141" s="88">
        <v>3500</v>
      </c>
      <c r="M141" s="88">
        <v>2500</v>
      </c>
      <c r="N141" s="88">
        <v>3500</v>
      </c>
      <c r="O141" s="88">
        <v>3500</v>
      </c>
      <c r="P141" s="88">
        <v>3500</v>
      </c>
      <c r="Q141" s="155">
        <f t="shared" si="55"/>
        <v>40000</v>
      </c>
      <c r="R141" s="280"/>
      <c r="S141" s="113">
        <f>Q141/$Q$319</f>
        <v>2.4997656469705966E-3</v>
      </c>
      <c r="T141" s="139"/>
    </row>
    <row r="142" spans="1:20" ht="16.5" hidden="1" customHeight="1" outlineLevel="2" thickBot="1" x14ac:dyDescent="0.3">
      <c r="A142" s="275"/>
      <c r="B142" s="278"/>
      <c r="C142" s="310"/>
      <c r="D142" s="102" t="s">
        <v>15</v>
      </c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4"/>
      <c r="R142" s="281"/>
      <c r="S142" s="107"/>
      <c r="T142" s="139"/>
    </row>
    <row r="143" spans="1:20" ht="15.75" hidden="1" customHeight="1" outlineLevel="2" x14ac:dyDescent="0.25">
      <c r="A143" s="273" t="s">
        <v>94</v>
      </c>
      <c r="B143" s="276" t="s">
        <v>12</v>
      </c>
      <c r="C143" s="308" t="s">
        <v>45</v>
      </c>
      <c r="D143" s="152" t="s">
        <v>14</v>
      </c>
      <c r="E143" s="79">
        <v>6408</v>
      </c>
      <c r="F143" s="79"/>
      <c r="G143" s="79"/>
      <c r="H143" s="79"/>
      <c r="I143" s="140"/>
      <c r="J143" s="79"/>
      <c r="K143" s="79"/>
      <c r="L143" s="80"/>
      <c r="M143" s="80"/>
      <c r="N143" s="80"/>
      <c r="O143" s="80"/>
      <c r="P143" s="80"/>
      <c r="Q143" s="90">
        <f t="shared" si="54"/>
        <v>6408</v>
      </c>
      <c r="R143" s="279">
        <f>Q143/Q144</f>
        <v>0.12816</v>
      </c>
      <c r="S143" s="114">
        <v>0</v>
      </c>
      <c r="T143" s="139"/>
    </row>
    <row r="144" spans="1:20" ht="15.75" hidden="1" customHeight="1" outlineLevel="2" x14ac:dyDescent="0.25">
      <c r="A144" s="274"/>
      <c r="B144" s="277"/>
      <c r="C144" s="309"/>
      <c r="D144" s="150" t="s">
        <v>1</v>
      </c>
      <c r="E144" s="88">
        <v>5000</v>
      </c>
      <c r="F144" s="88">
        <v>2500</v>
      </c>
      <c r="G144" s="88">
        <v>2500</v>
      </c>
      <c r="H144" s="88">
        <v>2500</v>
      </c>
      <c r="I144" s="88">
        <v>2000</v>
      </c>
      <c r="J144" s="88">
        <v>2500</v>
      </c>
      <c r="K144" s="88">
        <v>2000</v>
      </c>
      <c r="L144" s="88">
        <v>2000</v>
      </c>
      <c r="M144" s="88">
        <v>2000</v>
      </c>
      <c r="N144" s="88">
        <v>2000</v>
      </c>
      <c r="O144" s="88">
        <v>10000</v>
      </c>
      <c r="P144" s="88">
        <v>15000</v>
      </c>
      <c r="Q144" s="155">
        <f t="shared" si="55"/>
        <v>50000</v>
      </c>
      <c r="R144" s="280"/>
      <c r="S144" s="113">
        <f>Q144/$Q$319</f>
        <v>3.1247070587132456E-3</v>
      </c>
      <c r="T144" s="139"/>
    </row>
    <row r="145" spans="1:23" ht="16.5" hidden="1" customHeight="1" outlineLevel="2" thickBot="1" x14ac:dyDescent="0.3">
      <c r="A145" s="275"/>
      <c r="B145" s="278"/>
      <c r="C145" s="310"/>
      <c r="D145" s="151" t="s">
        <v>15</v>
      </c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4"/>
      <c r="R145" s="281"/>
      <c r="S145" s="107"/>
      <c r="T145" s="139"/>
    </row>
    <row r="146" spans="1:23" ht="15.75" hidden="1" customHeight="1" outlineLevel="2" x14ac:dyDescent="0.25">
      <c r="A146" s="273" t="s">
        <v>94</v>
      </c>
      <c r="B146" s="276" t="s">
        <v>12</v>
      </c>
      <c r="C146" s="308" t="s">
        <v>46</v>
      </c>
      <c r="D146" s="152" t="s">
        <v>14</v>
      </c>
      <c r="E146" s="141">
        <v>806.09</v>
      </c>
      <c r="F146" s="141"/>
      <c r="G146" s="141"/>
      <c r="H146" s="141"/>
      <c r="I146" s="141"/>
      <c r="J146" s="141"/>
      <c r="K146" s="141"/>
      <c r="L146" s="142"/>
      <c r="M146" s="142"/>
      <c r="N146" s="142"/>
      <c r="O146" s="142"/>
      <c r="P146" s="80"/>
      <c r="Q146" s="90">
        <f t="shared" si="54"/>
        <v>806.09</v>
      </c>
      <c r="R146" s="279">
        <f>Q146/Q147</f>
        <v>2.015225E-2</v>
      </c>
      <c r="S146" s="114">
        <v>0</v>
      </c>
      <c r="T146" s="139"/>
    </row>
    <row r="147" spans="1:23" ht="15.75" hidden="1" customHeight="1" outlineLevel="2" x14ac:dyDescent="0.25">
      <c r="A147" s="274"/>
      <c r="B147" s="277"/>
      <c r="C147" s="309"/>
      <c r="D147" s="150" t="s">
        <v>1</v>
      </c>
      <c r="E147" s="88">
        <v>3000</v>
      </c>
      <c r="F147" s="88">
        <v>3000</v>
      </c>
      <c r="G147" s="88">
        <v>3000</v>
      </c>
      <c r="H147" s="88">
        <v>3500</v>
      </c>
      <c r="I147" s="88">
        <v>3500</v>
      </c>
      <c r="J147" s="88">
        <v>2500</v>
      </c>
      <c r="K147" s="88">
        <v>3500</v>
      </c>
      <c r="L147" s="88">
        <v>3500</v>
      </c>
      <c r="M147" s="88">
        <v>2500</v>
      </c>
      <c r="N147" s="88">
        <v>3000</v>
      </c>
      <c r="O147" s="88">
        <v>3000</v>
      </c>
      <c r="P147" s="88">
        <v>6000</v>
      </c>
      <c r="Q147" s="155">
        <f t="shared" si="55"/>
        <v>40000</v>
      </c>
      <c r="R147" s="280"/>
      <c r="S147" s="113">
        <f>Q147/$Q$319</f>
        <v>2.4997656469705966E-3</v>
      </c>
      <c r="T147" s="139"/>
    </row>
    <row r="148" spans="1:23" ht="16.5" hidden="1" customHeight="1" outlineLevel="2" thickBot="1" x14ac:dyDescent="0.3">
      <c r="A148" s="275"/>
      <c r="B148" s="278"/>
      <c r="C148" s="310"/>
      <c r="D148" s="151" t="s">
        <v>15</v>
      </c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4"/>
      <c r="R148" s="281"/>
      <c r="S148" s="107"/>
      <c r="T148" s="139"/>
    </row>
    <row r="149" spans="1:23" ht="15.75" hidden="1" customHeight="1" outlineLevel="2" x14ac:dyDescent="0.25">
      <c r="A149" s="273" t="s">
        <v>94</v>
      </c>
      <c r="B149" s="276" t="s">
        <v>12</v>
      </c>
      <c r="C149" s="308" t="s">
        <v>47</v>
      </c>
      <c r="D149" s="152" t="s">
        <v>14</v>
      </c>
      <c r="E149" s="78">
        <v>1209</v>
      </c>
      <c r="F149" s="78"/>
      <c r="G149" s="79"/>
      <c r="H149" s="80"/>
      <c r="I149" s="80"/>
      <c r="J149" s="80"/>
      <c r="K149" s="80"/>
      <c r="L149" s="80"/>
      <c r="M149" s="80"/>
      <c r="N149" s="80"/>
      <c r="O149" s="80"/>
      <c r="P149" s="80"/>
      <c r="Q149" s="90">
        <f t="shared" si="54"/>
        <v>1209</v>
      </c>
      <c r="R149" s="279">
        <f>Q149/Q150</f>
        <v>6.0449999999999997E-2</v>
      </c>
      <c r="S149" s="114">
        <v>0</v>
      </c>
      <c r="T149" s="139"/>
    </row>
    <row r="150" spans="1:23" ht="15.75" hidden="1" customHeight="1" outlineLevel="2" x14ac:dyDescent="0.25">
      <c r="A150" s="274"/>
      <c r="B150" s="277"/>
      <c r="C150" s="309"/>
      <c r="D150" s="150" t="s">
        <v>1</v>
      </c>
      <c r="E150" s="88">
        <v>1500</v>
      </c>
      <c r="F150" s="88">
        <v>1500</v>
      </c>
      <c r="G150" s="88">
        <v>2500</v>
      </c>
      <c r="H150" s="88">
        <v>1500</v>
      </c>
      <c r="I150" s="88">
        <v>1500</v>
      </c>
      <c r="J150" s="88">
        <v>1500</v>
      </c>
      <c r="K150" s="88">
        <v>1500</v>
      </c>
      <c r="L150" s="88">
        <v>1500</v>
      </c>
      <c r="M150" s="88">
        <v>1500</v>
      </c>
      <c r="N150" s="88">
        <v>1500</v>
      </c>
      <c r="O150" s="88">
        <v>2000</v>
      </c>
      <c r="P150" s="88">
        <v>2000</v>
      </c>
      <c r="Q150" s="155">
        <f t="shared" si="55"/>
        <v>20000</v>
      </c>
      <c r="R150" s="280"/>
      <c r="S150" s="113">
        <f>Q150/$Q$319</f>
        <v>1.2498828234852983E-3</v>
      </c>
      <c r="T150" s="139"/>
    </row>
    <row r="151" spans="1:23" ht="16.5" hidden="1" customHeight="1" outlineLevel="2" thickBot="1" x14ac:dyDescent="0.3">
      <c r="A151" s="275"/>
      <c r="B151" s="278"/>
      <c r="C151" s="310"/>
      <c r="D151" s="151" t="s">
        <v>15</v>
      </c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4"/>
      <c r="R151" s="281"/>
      <c r="S151" s="107"/>
      <c r="T151" s="139"/>
    </row>
    <row r="152" spans="1:23" ht="15.75" hidden="1" customHeight="1" outlineLevel="2" x14ac:dyDescent="0.25">
      <c r="A152" s="273" t="s">
        <v>94</v>
      </c>
      <c r="B152" s="276" t="s">
        <v>12</v>
      </c>
      <c r="C152" s="308" t="s">
        <v>48</v>
      </c>
      <c r="D152" s="152" t="s">
        <v>14</v>
      </c>
      <c r="E152" s="78">
        <v>2217</v>
      </c>
      <c r="F152" s="78"/>
      <c r="G152" s="79"/>
      <c r="H152" s="80"/>
      <c r="I152" s="80"/>
      <c r="J152" s="80"/>
      <c r="K152" s="80"/>
      <c r="L152" s="80"/>
      <c r="M152" s="80"/>
      <c r="N152" s="80"/>
      <c r="O152" s="80"/>
      <c r="P152" s="80"/>
      <c r="Q152" s="90">
        <f t="shared" si="54"/>
        <v>2217</v>
      </c>
      <c r="R152" s="279">
        <f>Q152/Q153</f>
        <v>0.15289655172413794</v>
      </c>
      <c r="S152" s="114">
        <v>0</v>
      </c>
      <c r="T152" s="139"/>
    </row>
    <row r="153" spans="1:23" ht="15.75" hidden="1" customHeight="1" outlineLevel="2" x14ac:dyDescent="0.25">
      <c r="A153" s="274"/>
      <c r="B153" s="277"/>
      <c r="C153" s="309"/>
      <c r="D153" s="150" t="s">
        <v>1</v>
      </c>
      <c r="E153" s="88">
        <v>1000</v>
      </c>
      <c r="F153" s="88">
        <v>1000</v>
      </c>
      <c r="G153" s="88">
        <v>1000</v>
      </c>
      <c r="H153" s="88">
        <v>1500</v>
      </c>
      <c r="I153" s="88">
        <v>2000</v>
      </c>
      <c r="J153" s="88">
        <v>1500</v>
      </c>
      <c r="K153" s="88">
        <v>1000</v>
      </c>
      <c r="L153" s="88">
        <v>1000</v>
      </c>
      <c r="M153" s="88">
        <v>1500</v>
      </c>
      <c r="N153" s="88">
        <v>1000</v>
      </c>
      <c r="O153" s="88">
        <v>1000</v>
      </c>
      <c r="P153" s="88">
        <v>1000</v>
      </c>
      <c r="Q153" s="155">
        <f t="shared" si="55"/>
        <v>14500</v>
      </c>
      <c r="R153" s="280"/>
      <c r="S153" s="113">
        <f>Q153/$Q$319</f>
        <v>9.061650470268412E-4</v>
      </c>
      <c r="T153" s="139"/>
    </row>
    <row r="154" spans="1:23" ht="16.5" hidden="1" customHeight="1" outlineLevel="2" thickBot="1" x14ac:dyDescent="0.3">
      <c r="A154" s="275"/>
      <c r="B154" s="278"/>
      <c r="C154" s="310"/>
      <c r="D154" s="151" t="s">
        <v>15</v>
      </c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4"/>
      <c r="R154" s="281"/>
      <c r="S154" s="107"/>
      <c r="T154" s="139"/>
    </row>
    <row r="155" spans="1:23" ht="15.75" hidden="1" customHeight="1" outlineLevel="2" x14ac:dyDescent="0.25">
      <c r="A155" s="273" t="s">
        <v>94</v>
      </c>
      <c r="B155" s="276" t="s">
        <v>12</v>
      </c>
      <c r="C155" s="276" t="s">
        <v>126</v>
      </c>
      <c r="D155" s="152" t="s">
        <v>14</v>
      </c>
      <c r="E155" s="78">
        <v>9798.08</v>
      </c>
      <c r="F155" s="78"/>
      <c r="G155" s="78"/>
      <c r="H155" s="78"/>
      <c r="I155" s="78"/>
      <c r="J155" s="78"/>
      <c r="K155" s="78"/>
      <c r="L155" s="78"/>
      <c r="M155" s="78"/>
      <c r="N155" s="138"/>
      <c r="O155" s="78"/>
      <c r="P155" s="78"/>
      <c r="Q155" s="90">
        <f t="shared" si="54"/>
        <v>9798.08</v>
      </c>
      <c r="R155" s="279">
        <f>Q155/Q156</f>
        <v>2.4192790123456789E-2</v>
      </c>
      <c r="S155" s="114">
        <v>0</v>
      </c>
      <c r="T155" s="139"/>
      <c r="W155" s="149"/>
    </row>
    <row r="156" spans="1:23" ht="15.75" hidden="1" customHeight="1" outlineLevel="2" x14ac:dyDescent="0.25">
      <c r="A156" s="274"/>
      <c r="B156" s="277"/>
      <c r="C156" s="277"/>
      <c r="D156" s="150" t="s">
        <v>1</v>
      </c>
      <c r="E156" s="101">
        <v>35000</v>
      </c>
      <c r="F156" s="101">
        <v>35000</v>
      </c>
      <c r="G156" s="101">
        <v>35000</v>
      </c>
      <c r="H156" s="101">
        <v>35000</v>
      </c>
      <c r="I156" s="101">
        <v>35000</v>
      </c>
      <c r="J156" s="101">
        <v>35000</v>
      </c>
      <c r="K156" s="101">
        <v>25000</v>
      </c>
      <c r="L156" s="101">
        <v>35000</v>
      </c>
      <c r="M156" s="101">
        <v>30000</v>
      </c>
      <c r="N156" s="101">
        <v>35000</v>
      </c>
      <c r="O156" s="101">
        <v>35000</v>
      </c>
      <c r="P156" s="101">
        <v>35000</v>
      </c>
      <c r="Q156" s="155">
        <f t="shared" si="55"/>
        <v>405000</v>
      </c>
      <c r="R156" s="280"/>
      <c r="S156" s="113">
        <f>Q156/$Q$319</f>
        <v>2.5310127175577291E-2</v>
      </c>
      <c r="T156" s="139"/>
    </row>
    <row r="157" spans="1:23" ht="16.5" hidden="1" customHeight="1" outlineLevel="2" thickBot="1" x14ac:dyDescent="0.3">
      <c r="A157" s="275"/>
      <c r="B157" s="278"/>
      <c r="C157" s="278"/>
      <c r="D157" s="151" t="s">
        <v>15</v>
      </c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4"/>
      <c r="R157" s="281"/>
      <c r="S157" s="107"/>
      <c r="T157" s="139"/>
    </row>
    <row r="158" spans="1:23" ht="17.25" collapsed="1" thickTop="1" thickBot="1" x14ac:dyDescent="0.25">
      <c r="A158" s="303" t="s">
        <v>94</v>
      </c>
      <c r="B158" s="305" t="s">
        <v>0</v>
      </c>
      <c r="C158" s="303" t="s">
        <v>0</v>
      </c>
      <c r="D158" s="56" t="s">
        <v>14</v>
      </c>
      <c r="E158" s="89">
        <f>SUM(E155,E152,E149,E146,E143,E140,E137,E134,E131,E128,E125,E122,E119)</f>
        <v>252552.87</v>
      </c>
      <c r="F158" s="89">
        <f t="shared" ref="F158:Q158" si="56">SUM(F155,F152,F149,F146,F143,F140,F137,F134,F131,F128,F125,F122,F119)</f>
        <v>0</v>
      </c>
      <c r="G158" s="89">
        <f t="shared" si="56"/>
        <v>0</v>
      </c>
      <c r="H158" s="89">
        <f t="shared" si="56"/>
        <v>0</v>
      </c>
      <c r="I158" s="89">
        <f t="shared" si="56"/>
        <v>0</v>
      </c>
      <c r="J158" s="89">
        <f t="shared" si="56"/>
        <v>0</v>
      </c>
      <c r="K158" s="89">
        <f t="shared" si="56"/>
        <v>0</v>
      </c>
      <c r="L158" s="89">
        <f t="shared" si="56"/>
        <v>0</v>
      </c>
      <c r="M158" s="89">
        <f t="shared" si="56"/>
        <v>0</v>
      </c>
      <c r="N158" s="89">
        <f t="shared" si="56"/>
        <v>0</v>
      </c>
      <c r="O158" s="89">
        <f t="shared" si="56"/>
        <v>0</v>
      </c>
      <c r="P158" s="89">
        <f t="shared" si="56"/>
        <v>0</v>
      </c>
      <c r="Q158" s="89">
        <f t="shared" si="56"/>
        <v>252552.87</v>
      </c>
      <c r="R158" s="307">
        <f>Q158/Q159</f>
        <v>0.12437964540753509</v>
      </c>
      <c r="S158" s="114">
        <v>0</v>
      </c>
      <c r="T158" s="139"/>
    </row>
    <row r="159" spans="1:23" ht="17.25" thickTop="1" thickBot="1" x14ac:dyDescent="0.3">
      <c r="A159" s="304"/>
      <c r="B159" s="306"/>
      <c r="C159" s="304"/>
      <c r="D159" s="64" t="s">
        <v>1</v>
      </c>
      <c r="E159" s="7">
        <f>SUM(E120,E123,E126,E129,E132,E135,E138,E141,E144,E147,E150,E153,E156)</f>
        <v>183165</v>
      </c>
      <c r="F159" s="7">
        <f t="shared" ref="F159:P159" si="57">SUM(F120,F123,F126,F129,F132,F135,F138,F141,F144,F147,F150,F153,F156)</f>
        <v>183667</v>
      </c>
      <c r="G159" s="7">
        <f t="shared" si="57"/>
        <v>177167</v>
      </c>
      <c r="H159" s="7">
        <f t="shared" si="57"/>
        <v>178667</v>
      </c>
      <c r="I159" s="7">
        <f t="shared" si="57"/>
        <v>172667</v>
      </c>
      <c r="J159" s="7">
        <f t="shared" si="57"/>
        <v>165167</v>
      </c>
      <c r="K159" s="7">
        <f t="shared" si="57"/>
        <v>124667</v>
      </c>
      <c r="L159" s="7">
        <f t="shared" si="57"/>
        <v>159667</v>
      </c>
      <c r="M159" s="7">
        <f t="shared" si="57"/>
        <v>164167</v>
      </c>
      <c r="N159" s="7">
        <f t="shared" si="57"/>
        <v>165167</v>
      </c>
      <c r="O159" s="7">
        <f t="shared" si="57"/>
        <v>174667</v>
      </c>
      <c r="P159" s="7">
        <f t="shared" si="57"/>
        <v>181665</v>
      </c>
      <c r="Q159" s="7">
        <f t="shared" ref="Q159" si="58">SUM(Q120,Q123,Q126,Q129,Q132,Q135,Q138,Q141,Q144,Q147,Q150,Q153,Q156)</f>
        <v>2030500</v>
      </c>
      <c r="R159" s="307"/>
      <c r="S159" s="113">
        <f>Q159/$Q$319</f>
        <v>0.1268943536543449</v>
      </c>
    </row>
    <row r="160" spans="1:23" ht="17.25" thickTop="1" thickBot="1" x14ac:dyDescent="0.3">
      <c r="A160" s="304"/>
      <c r="B160" s="306"/>
      <c r="C160" s="304"/>
      <c r="D160" s="57" t="s">
        <v>2</v>
      </c>
      <c r="E160" s="8">
        <f t="shared" ref="E160:P160" si="59">E158/E159</f>
        <v>1.3788271230857423</v>
      </c>
      <c r="F160" s="8">
        <f t="shared" si="59"/>
        <v>0</v>
      </c>
      <c r="G160" s="8">
        <f t="shared" si="59"/>
        <v>0</v>
      </c>
      <c r="H160" s="8">
        <f t="shared" si="59"/>
        <v>0</v>
      </c>
      <c r="I160" s="8">
        <f t="shared" si="59"/>
        <v>0</v>
      </c>
      <c r="J160" s="8">
        <f t="shared" si="59"/>
        <v>0</v>
      </c>
      <c r="K160" s="8">
        <f t="shared" si="59"/>
        <v>0</v>
      </c>
      <c r="L160" s="8">
        <f t="shared" si="59"/>
        <v>0</v>
      </c>
      <c r="M160" s="8">
        <f t="shared" si="59"/>
        <v>0</v>
      </c>
      <c r="N160" s="8">
        <f t="shared" si="59"/>
        <v>0</v>
      </c>
      <c r="O160" s="8">
        <f t="shared" si="59"/>
        <v>0</v>
      </c>
      <c r="P160" s="8">
        <f t="shared" si="59"/>
        <v>0</v>
      </c>
      <c r="Q160" s="46">
        <f>Q158/Q159</f>
        <v>0.12437964540753509</v>
      </c>
      <c r="R160" s="307"/>
      <c r="S160" s="107"/>
    </row>
    <row r="161" spans="1:19" ht="17.25" thickTop="1" thickBot="1" x14ac:dyDescent="0.3">
      <c r="A161" s="304"/>
      <c r="B161" s="306"/>
      <c r="C161" s="304"/>
      <c r="D161" s="65" t="s">
        <v>3</v>
      </c>
      <c r="E161" s="10">
        <f t="shared" ref="E161:P161" si="60">E158-E159</f>
        <v>69387.87</v>
      </c>
      <c r="F161" s="10">
        <f t="shared" si="60"/>
        <v>-183667</v>
      </c>
      <c r="G161" s="10">
        <f t="shared" si="60"/>
        <v>-177167</v>
      </c>
      <c r="H161" s="10">
        <f t="shared" si="60"/>
        <v>-178667</v>
      </c>
      <c r="I161" s="10">
        <f t="shared" si="60"/>
        <v>-172667</v>
      </c>
      <c r="J161" s="10">
        <f t="shared" si="60"/>
        <v>-165167</v>
      </c>
      <c r="K161" s="10">
        <f t="shared" si="60"/>
        <v>-124667</v>
      </c>
      <c r="L161" s="10">
        <f t="shared" si="60"/>
        <v>-159667</v>
      </c>
      <c r="M161" s="10">
        <f t="shared" si="60"/>
        <v>-164167</v>
      </c>
      <c r="N161" s="10">
        <f t="shared" si="60"/>
        <v>-165167</v>
      </c>
      <c r="O161" s="10">
        <f t="shared" si="60"/>
        <v>-174667</v>
      </c>
      <c r="P161" s="10">
        <f t="shared" si="60"/>
        <v>-181665</v>
      </c>
      <c r="Q161" s="47">
        <f>Q158-Q159</f>
        <v>-1777947.13</v>
      </c>
      <c r="R161" s="307"/>
      <c r="S161" s="108"/>
    </row>
    <row r="162" spans="1:19" ht="16.5" thickBot="1" x14ac:dyDescent="0.3">
      <c r="A162" s="304"/>
      <c r="B162" s="306"/>
      <c r="C162" s="304"/>
      <c r="D162" s="66" t="s">
        <v>4</v>
      </c>
      <c r="E162" s="9">
        <f>E161/E158</f>
        <v>0.27474591755777711</v>
      </c>
      <c r="F162" s="9" t="e">
        <f t="shared" ref="F162:P162" si="61">F161/F158</f>
        <v>#DIV/0!</v>
      </c>
      <c r="G162" s="9" t="e">
        <f t="shared" si="61"/>
        <v>#DIV/0!</v>
      </c>
      <c r="H162" s="9" t="e">
        <f t="shared" si="61"/>
        <v>#DIV/0!</v>
      </c>
      <c r="I162" s="9" t="e">
        <f t="shared" si="61"/>
        <v>#DIV/0!</v>
      </c>
      <c r="J162" s="9" t="e">
        <f t="shared" si="61"/>
        <v>#DIV/0!</v>
      </c>
      <c r="K162" s="9" t="e">
        <f t="shared" si="61"/>
        <v>#DIV/0!</v>
      </c>
      <c r="L162" s="9" t="e">
        <f t="shared" si="61"/>
        <v>#DIV/0!</v>
      </c>
      <c r="M162" s="9" t="e">
        <f t="shared" si="61"/>
        <v>#DIV/0!</v>
      </c>
      <c r="N162" s="9" t="e">
        <f t="shared" si="61"/>
        <v>#DIV/0!</v>
      </c>
      <c r="O162" s="9" t="e">
        <f t="shared" si="61"/>
        <v>#DIV/0!</v>
      </c>
      <c r="P162" s="9" t="e">
        <f t="shared" si="61"/>
        <v>#DIV/0!</v>
      </c>
      <c r="Q162" s="48">
        <f>Q161/Q158</f>
        <v>-7.0399007146503614</v>
      </c>
      <c r="R162" s="18"/>
      <c r="S162" s="109"/>
    </row>
    <row r="163" spans="1:19" ht="15.75" thickBot="1" x14ac:dyDescent="0.25">
      <c r="A163" s="6"/>
      <c r="B163" s="6"/>
      <c r="C163" s="75"/>
      <c r="D163" s="67" t="s">
        <v>33</v>
      </c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40"/>
      <c r="Q163" s="67"/>
      <c r="R163" s="36"/>
      <c r="S163" s="110"/>
    </row>
    <row r="164" spans="1:19" ht="15.75" hidden="1" customHeight="1" outlineLevel="1" x14ac:dyDescent="0.25">
      <c r="A164" s="273" t="s">
        <v>51</v>
      </c>
      <c r="B164" s="276" t="s">
        <v>12</v>
      </c>
      <c r="C164" s="300" t="s">
        <v>123</v>
      </c>
      <c r="D164" s="77" t="s">
        <v>14</v>
      </c>
      <c r="E164" s="78">
        <v>7496</v>
      </c>
      <c r="F164" s="78"/>
      <c r="G164" s="79"/>
      <c r="H164" s="80"/>
      <c r="I164" s="80"/>
      <c r="J164" s="80"/>
      <c r="K164" s="80"/>
      <c r="L164" s="80"/>
      <c r="M164" s="80"/>
      <c r="N164" s="80"/>
      <c r="O164" s="80"/>
      <c r="P164" s="80"/>
      <c r="Q164" s="90">
        <f t="shared" ref="Q164:Q227" si="62">+SUM(E164:P164)</f>
        <v>7496</v>
      </c>
      <c r="R164" s="279">
        <f>Q164/Q165</f>
        <v>0.10632624113475177</v>
      </c>
      <c r="S164" s="114">
        <v>0</v>
      </c>
    </row>
    <row r="165" spans="1:19" ht="15.75" hidden="1" customHeight="1" outlineLevel="1" x14ac:dyDescent="0.25">
      <c r="A165" s="274"/>
      <c r="B165" s="277"/>
      <c r="C165" s="301"/>
      <c r="D165" s="81" t="s">
        <v>1</v>
      </c>
      <c r="E165" s="88">
        <v>7000</v>
      </c>
      <c r="F165" s="88">
        <v>6500</v>
      </c>
      <c r="G165" s="88">
        <v>6500</v>
      </c>
      <c r="H165" s="88">
        <v>5500</v>
      </c>
      <c r="I165" s="88">
        <v>5500</v>
      </c>
      <c r="J165" s="88">
        <v>5500</v>
      </c>
      <c r="K165" s="88">
        <v>5500</v>
      </c>
      <c r="L165" s="88">
        <v>5500</v>
      </c>
      <c r="M165" s="88">
        <v>5500</v>
      </c>
      <c r="N165" s="88">
        <v>6000</v>
      </c>
      <c r="O165" s="88">
        <v>5000</v>
      </c>
      <c r="P165" s="88">
        <v>6500</v>
      </c>
      <c r="Q165" s="155">
        <f t="shared" ref="Q165:Q228" si="63">SUM(E165:P165)</f>
        <v>70500</v>
      </c>
      <c r="R165" s="280"/>
      <c r="S165" s="113">
        <f>Q165/$Q$319</f>
        <v>4.4058369527856765E-3</v>
      </c>
    </row>
    <row r="166" spans="1:19" ht="16.5" hidden="1" customHeight="1" outlineLevel="1" thickBot="1" x14ac:dyDescent="0.3">
      <c r="A166" s="275"/>
      <c r="B166" s="278"/>
      <c r="C166" s="302"/>
      <c r="D166" s="102" t="s">
        <v>15</v>
      </c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4"/>
      <c r="R166" s="281"/>
      <c r="S166" s="107"/>
    </row>
    <row r="167" spans="1:19" ht="15.75" hidden="1" customHeight="1" outlineLevel="1" x14ac:dyDescent="0.25">
      <c r="A167" s="273" t="s">
        <v>51</v>
      </c>
      <c r="B167" s="276" t="s">
        <v>12</v>
      </c>
      <c r="C167" s="300" t="s">
        <v>52</v>
      </c>
      <c r="D167" s="77" t="s">
        <v>14</v>
      </c>
      <c r="E167" s="78"/>
      <c r="F167" s="78"/>
      <c r="G167" s="79"/>
      <c r="H167" s="80"/>
      <c r="I167" s="80"/>
      <c r="J167" s="80"/>
      <c r="K167" s="80"/>
      <c r="L167" s="80"/>
      <c r="M167" s="80"/>
      <c r="N167" s="80"/>
      <c r="O167" s="80"/>
      <c r="P167" s="80"/>
      <c r="Q167" s="90">
        <f t="shared" si="62"/>
        <v>0</v>
      </c>
      <c r="R167" s="279">
        <f>Q167/Q168</f>
        <v>0</v>
      </c>
      <c r="S167" s="114">
        <v>0</v>
      </c>
    </row>
    <row r="168" spans="1:19" ht="15.75" hidden="1" customHeight="1" outlineLevel="1" x14ac:dyDescent="0.25">
      <c r="A168" s="274"/>
      <c r="B168" s="277"/>
      <c r="C168" s="301"/>
      <c r="D168" s="81" t="s">
        <v>1</v>
      </c>
      <c r="E168" s="88">
        <v>2500</v>
      </c>
      <c r="F168" s="88">
        <v>5000</v>
      </c>
      <c r="G168" s="88">
        <v>2500</v>
      </c>
      <c r="H168" s="88">
        <v>5000</v>
      </c>
      <c r="I168" s="88">
        <v>5000</v>
      </c>
      <c r="J168" s="88">
        <v>5000</v>
      </c>
      <c r="K168" s="88">
        <v>2500</v>
      </c>
      <c r="L168" s="88">
        <v>2500</v>
      </c>
      <c r="M168" s="88">
        <v>5000</v>
      </c>
      <c r="N168" s="88">
        <v>5000</v>
      </c>
      <c r="O168" s="88">
        <v>5000</v>
      </c>
      <c r="P168" s="88">
        <v>5000</v>
      </c>
      <c r="Q168" s="155">
        <f t="shared" si="63"/>
        <v>50000</v>
      </c>
      <c r="R168" s="280"/>
      <c r="S168" s="113">
        <f>Q168/$Q$319</f>
        <v>3.1247070587132456E-3</v>
      </c>
    </row>
    <row r="169" spans="1:19" ht="16.5" hidden="1" customHeight="1" outlineLevel="1" thickBot="1" x14ac:dyDescent="0.3">
      <c r="A169" s="275"/>
      <c r="B169" s="278"/>
      <c r="C169" s="302"/>
      <c r="D169" s="102" t="s">
        <v>15</v>
      </c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4"/>
      <c r="R169" s="281"/>
      <c r="S169" s="107"/>
    </row>
    <row r="170" spans="1:19" ht="15.75" hidden="1" customHeight="1" outlineLevel="1" x14ac:dyDescent="0.25">
      <c r="A170" s="273" t="s">
        <v>51</v>
      </c>
      <c r="B170" s="276" t="s">
        <v>12</v>
      </c>
      <c r="C170" s="300" t="s">
        <v>100</v>
      </c>
      <c r="D170" s="77" t="s">
        <v>14</v>
      </c>
      <c r="E170" s="78"/>
      <c r="F170" s="78"/>
      <c r="G170" s="79"/>
      <c r="H170" s="80"/>
      <c r="I170" s="80"/>
      <c r="J170" s="80"/>
      <c r="K170" s="80"/>
      <c r="L170" s="80"/>
      <c r="M170" s="80"/>
      <c r="N170" s="80"/>
      <c r="O170" s="80"/>
      <c r="P170" s="80"/>
      <c r="Q170" s="90">
        <f t="shared" si="62"/>
        <v>0</v>
      </c>
      <c r="R170" s="279">
        <f>Q170/Q171</f>
        <v>0</v>
      </c>
      <c r="S170" s="114" t="e">
        <v>#REF!</v>
      </c>
    </row>
    <row r="171" spans="1:19" ht="15.75" hidden="1" customHeight="1" outlineLevel="1" x14ac:dyDescent="0.25">
      <c r="A171" s="274"/>
      <c r="B171" s="277"/>
      <c r="C171" s="301"/>
      <c r="D171" s="81" t="s">
        <v>1</v>
      </c>
      <c r="E171" s="88">
        <v>5000</v>
      </c>
      <c r="F171" s="88">
        <v>5500</v>
      </c>
      <c r="G171" s="88">
        <v>5000</v>
      </c>
      <c r="H171" s="88">
        <v>4000</v>
      </c>
      <c r="I171" s="88">
        <v>5500</v>
      </c>
      <c r="J171" s="88">
        <v>3000</v>
      </c>
      <c r="K171" s="88">
        <v>8000</v>
      </c>
      <c r="L171" s="88">
        <v>2000</v>
      </c>
      <c r="M171" s="88">
        <v>5000</v>
      </c>
      <c r="N171" s="88">
        <v>7000</v>
      </c>
      <c r="O171" s="88">
        <v>15000</v>
      </c>
      <c r="P171" s="88">
        <v>10000</v>
      </c>
      <c r="Q171" s="155">
        <f t="shared" si="63"/>
        <v>75000</v>
      </c>
      <c r="R171" s="280"/>
      <c r="S171" s="113">
        <f>Q171/$Q$319</f>
        <v>4.6870605880698687E-3</v>
      </c>
    </row>
    <row r="172" spans="1:19" ht="16.5" hidden="1" customHeight="1" outlineLevel="1" thickBot="1" x14ac:dyDescent="0.3">
      <c r="A172" s="275"/>
      <c r="B172" s="278"/>
      <c r="C172" s="302"/>
      <c r="D172" s="102" t="s">
        <v>15</v>
      </c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4"/>
      <c r="R172" s="281"/>
      <c r="S172" s="107"/>
    </row>
    <row r="173" spans="1:19" ht="15.75" hidden="1" customHeight="1" outlineLevel="1" x14ac:dyDescent="0.25">
      <c r="A173" s="273" t="s">
        <v>51</v>
      </c>
      <c r="B173" s="276" t="s">
        <v>12</v>
      </c>
      <c r="C173" s="300" t="s">
        <v>99</v>
      </c>
      <c r="D173" s="77" t="s">
        <v>14</v>
      </c>
      <c r="E173" s="78">
        <v>33581.800000000003</v>
      </c>
      <c r="F173" s="78"/>
      <c r="G173" s="79"/>
      <c r="H173" s="80"/>
      <c r="I173" s="80"/>
      <c r="J173" s="80"/>
      <c r="K173" s="80"/>
      <c r="L173" s="80"/>
      <c r="M173" s="80"/>
      <c r="N173" s="80"/>
      <c r="O173" s="80"/>
      <c r="P173" s="80"/>
      <c r="Q173" s="90">
        <f t="shared" si="62"/>
        <v>33581.800000000003</v>
      </c>
      <c r="R173" s="279">
        <f>Q173/Q174</f>
        <v>0.11193933333333335</v>
      </c>
      <c r="S173" s="114">
        <v>0</v>
      </c>
    </row>
    <row r="174" spans="1:19" ht="15.75" hidden="1" customHeight="1" outlineLevel="1" x14ac:dyDescent="0.25">
      <c r="A174" s="274"/>
      <c r="B174" s="277"/>
      <c r="C174" s="301"/>
      <c r="D174" s="81" t="s">
        <v>1</v>
      </c>
      <c r="E174" s="88">
        <v>25000</v>
      </c>
      <c r="F174" s="88">
        <v>25000</v>
      </c>
      <c r="G174" s="88">
        <v>25000</v>
      </c>
      <c r="H174" s="88">
        <v>25000</v>
      </c>
      <c r="I174" s="88">
        <v>25000</v>
      </c>
      <c r="J174" s="88">
        <v>25000</v>
      </c>
      <c r="K174" s="88">
        <v>25000</v>
      </c>
      <c r="L174" s="88">
        <v>25000</v>
      </c>
      <c r="M174" s="88">
        <v>25000</v>
      </c>
      <c r="N174" s="88">
        <v>25000</v>
      </c>
      <c r="O174" s="88">
        <v>25000</v>
      </c>
      <c r="P174" s="88">
        <v>25000</v>
      </c>
      <c r="Q174" s="155">
        <f t="shared" si="63"/>
        <v>300000</v>
      </c>
      <c r="R174" s="280"/>
      <c r="S174" s="113">
        <f>Q174/$Q$319</f>
        <v>1.8748242352279475E-2</v>
      </c>
    </row>
    <row r="175" spans="1:19" ht="16.5" hidden="1" customHeight="1" outlineLevel="1" thickBot="1" x14ac:dyDescent="0.3">
      <c r="A175" s="275"/>
      <c r="B175" s="278"/>
      <c r="C175" s="302"/>
      <c r="D175" s="102" t="s">
        <v>15</v>
      </c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4"/>
      <c r="R175" s="281"/>
      <c r="S175" s="107"/>
    </row>
    <row r="176" spans="1:19" ht="15.75" hidden="1" customHeight="1" outlineLevel="1" x14ac:dyDescent="0.25">
      <c r="A176" s="273" t="s">
        <v>51</v>
      </c>
      <c r="B176" s="276" t="s">
        <v>12</v>
      </c>
      <c r="C176" s="300" t="s">
        <v>53</v>
      </c>
      <c r="D176" s="77" t="s">
        <v>14</v>
      </c>
      <c r="E176" s="78"/>
      <c r="F176" s="78"/>
      <c r="G176" s="79"/>
      <c r="H176" s="80"/>
      <c r="I176" s="80"/>
      <c r="J176" s="80"/>
      <c r="K176" s="80"/>
      <c r="L176" s="80"/>
      <c r="M176" s="80"/>
      <c r="N176" s="80"/>
      <c r="O176" s="80"/>
      <c r="P176" s="80"/>
      <c r="Q176" s="90">
        <f t="shared" si="62"/>
        <v>0</v>
      </c>
      <c r="R176" s="279">
        <f>Q176/Q177</f>
        <v>0</v>
      </c>
      <c r="S176" s="114">
        <v>0</v>
      </c>
    </row>
    <row r="177" spans="1:19" ht="15.75" hidden="1" customHeight="1" outlineLevel="1" x14ac:dyDescent="0.25">
      <c r="A177" s="274"/>
      <c r="B177" s="277"/>
      <c r="C177" s="301"/>
      <c r="D177" s="81" t="s">
        <v>1</v>
      </c>
      <c r="E177" s="88">
        <v>2500</v>
      </c>
      <c r="F177" s="88">
        <v>4500</v>
      </c>
      <c r="G177" s="88">
        <v>4500</v>
      </c>
      <c r="H177" s="88">
        <v>4500</v>
      </c>
      <c r="I177" s="88">
        <v>4500</v>
      </c>
      <c r="J177" s="88">
        <v>4500</v>
      </c>
      <c r="K177" s="88">
        <v>3000</v>
      </c>
      <c r="L177" s="88">
        <v>4500</v>
      </c>
      <c r="M177" s="88">
        <v>4500</v>
      </c>
      <c r="N177" s="88">
        <v>4500</v>
      </c>
      <c r="O177" s="88">
        <v>4500</v>
      </c>
      <c r="P177" s="88">
        <v>4500</v>
      </c>
      <c r="Q177" s="155">
        <f t="shared" si="63"/>
        <v>50500</v>
      </c>
      <c r="R177" s="280"/>
      <c r="S177" s="113">
        <f>Q177/$Q$319</f>
        <v>3.155954129300378E-3</v>
      </c>
    </row>
    <row r="178" spans="1:19" ht="16.5" hidden="1" customHeight="1" outlineLevel="1" thickBot="1" x14ac:dyDescent="0.3">
      <c r="A178" s="275"/>
      <c r="B178" s="278"/>
      <c r="C178" s="302"/>
      <c r="D178" s="102" t="s">
        <v>15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4"/>
      <c r="R178" s="281"/>
      <c r="S178" s="107"/>
    </row>
    <row r="179" spans="1:19" ht="15.75" hidden="1" customHeight="1" outlineLevel="1" x14ac:dyDescent="0.25">
      <c r="A179" s="273" t="s">
        <v>51</v>
      </c>
      <c r="B179" s="276" t="s">
        <v>12</v>
      </c>
      <c r="C179" s="300" t="s">
        <v>54</v>
      </c>
      <c r="D179" s="77" t="s">
        <v>14</v>
      </c>
      <c r="E179" s="78">
        <v>10785</v>
      </c>
      <c r="F179" s="78"/>
      <c r="G179" s="79"/>
      <c r="H179" s="80"/>
      <c r="I179" s="80"/>
      <c r="J179" s="80"/>
      <c r="K179" s="80"/>
      <c r="L179" s="80"/>
      <c r="M179" s="80"/>
      <c r="N179" s="80"/>
      <c r="O179" s="80"/>
      <c r="P179" s="80"/>
      <c r="Q179" s="90">
        <f t="shared" si="62"/>
        <v>10785</v>
      </c>
      <c r="R179" s="279">
        <f>Q179/Q180</f>
        <v>0.28760000000000002</v>
      </c>
      <c r="S179" s="114">
        <v>0</v>
      </c>
    </row>
    <row r="180" spans="1:19" ht="15.75" hidden="1" customHeight="1" outlineLevel="1" x14ac:dyDescent="0.25">
      <c r="A180" s="274"/>
      <c r="B180" s="277"/>
      <c r="C180" s="301"/>
      <c r="D180" s="81" t="s">
        <v>1</v>
      </c>
      <c r="E180" s="88">
        <v>2500</v>
      </c>
      <c r="F180" s="88"/>
      <c r="G180" s="88">
        <v>5000</v>
      </c>
      <c r="H180" s="88">
        <v>5000</v>
      </c>
      <c r="I180" s="88">
        <v>5000</v>
      </c>
      <c r="J180" s="88">
        <v>2500</v>
      </c>
      <c r="K180" s="88"/>
      <c r="L180" s="88">
        <v>2500</v>
      </c>
      <c r="M180" s="88">
        <v>5000</v>
      </c>
      <c r="N180" s="88">
        <v>2500</v>
      </c>
      <c r="O180" s="88">
        <v>5000</v>
      </c>
      <c r="P180" s="88">
        <v>2500</v>
      </c>
      <c r="Q180" s="155">
        <f t="shared" si="63"/>
        <v>37500</v>
      </c>
      <c r="R180" s="280"/>
      <c r="S180" s="113">
        <f>Q180/$Q$319</f>
        <v>2.3435302940349343E-3</v>
      </c>
    </row>
    <row r="181" spans="1:19" ht="16.5" hidden="1" customHeight="1" outlineLevel="1" thickBot="1" x14ac:dyDescent="0.3">
      <c r="A181" s="275"/>
      <c r="B181" s="278"/>
      <c r="C181" s="302"/>
      <c r="D181" s="102" t="s">
        <v>15</v>
      </c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4"/>
      <c r="R181" s="281"/>
      <c r="S181" s="107"/>
    </row>
    <row r="182" spans="1:19" ht="15.75" hidden="1" customHeight="1" outlineLevel="1" x14ac:dyDescent="0.25">
      <c r="A182" s="273" t="s">
        <v>51</v>
      </c>
      <c r="B182" s="276" t="s">
        <v>12</v>
      </c>
      <c r="C182" s="300" t="s">
        <v>55</v>
      </c>
      <c r="D182" s="77" t="s">
        <v>14</v>
      </c>
      <c r="E182" s="78">
        <v>3452.32</v>
      </c>
      <c r="F182" s="78"/>
      <c r="G182" s="79"/>
      <c r="H182" s="80"/>
      <c r="I182" s="80"/>
      <c r="J182" s="80"/>
      <c r="K182" s="80"/>
      <c r="L182" s="80"/>
      <c r="M182" s="80"/>
      <c r="N182" s="80"/>
      <c r="O182" s="80"/>
      <c r="P182" s="80"/>
      <c r="Q182" s="90">
        <f t="shared" si="62"/>
        <v>3452.32</v>
      </c>
      <c r="R182" s="279">
        <f>Q182/Q183</f>
        <v>4.9318857142857143E-2</v>
      </c>
      <c r="S182" s="114">
        <v>0</v>
      </c>
    </row>
    <row r="183" spans="1:19" ht="15.75" hidden="1" customHeight="1" outlineLevel="1" x14ac:dyDescent="0.25">
      <c r="A183" s="274"/>
      <c r="B183" s="277"/>
      <c r="C183" s="301"/>
      <c r="D183" s="81" t="s">
        <v>1</v>
      </c>
      <c r="E183" s="88">
        <v>3500</v>
      </c>
      <c r="F183" s="88">
        <v>3500</v>
      </c>
      <c r="G183" s="88">
        <v>5000</v>
      </c>
      <c r="H183" s="88">
        <v>11000</v>
      </c>
      <c r="I183" s="88">
        <v>7500</v>
      </c>
      <c r="J183" s="88">
        <v>7500</v>
      </c>
      <c r="K183" s="88">
        <v>7500</v>
      </c>
      <c r="L183" s="88">
        <v>7500</v>
      </c>
      <c r="M183" s="88">
        <v>3500</v>
      </c>
      <c r="N183" s="88">
        <v>2500</v>
      </c>
      <c r="O183" s="88">
        <v>7500</v>
      </c>
      <c r="P183" s="88">
        <v>3500</v>
      </c>
      <c r="Q183" s="155">
        <f t="shared" si="63"/>
        <v>70000</v>
      </c>
      <c r="R183" s="280"/>
      <c r="S183" s="113">
        <f>Q183/$Q$319</f>
        <v>4.3745898821985442E-3</v>
      </c>
    </row>
    <row r="184" spans="1:19" ht="16.5" hidden="1" customHeight="1" outlineLevel="1" thickBot="1" x14ac:dyDescent="0.3">
      <c r="A184" s="275"/>
      <c r="B184" s="278"/>
      <c r="C184" s="302"/>
      <c r="D184" s="102" t="s">
        <v>15</v>
      </c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4"/>
      <c r="R184" s="281"/>
      <c r="S184" s="107"/>
    </row>
    <row r="185" spans="1:19" ht="15.75" hidden="1" customHeight="1" outlineLevel="1" x14ac:dyDescent="0.25">
      <c r="A185" s="273" t="s">
        <v>51</v>
      </c>
      <c r="B185" s="276" t="s">
        <v>12</v>
      </c>
      <c r="C185" s="300" t="s">
        <v>56</v>
      </c>
      <c r="D185" s="77" t="s">
        <v>14</v>
      </c>
      <c r="E185" s="78">
        <v>46025</v>
      </c>
      <c r="F185" s="78"/>
      <c r="G185" s="79"/>
      <c r="H185" s="80"/>
      <c r="I185" s="80"/>
      <c r="J185" s="80"/>
      <c r="K185" s="80"/>
      <c r="L185" s="80"/>
      <c r="M185" s="80"/>
      <c r="N185" s="80"/>
      <c r="O185" s="80"/>
      <c r="P185" s="80"/>
      <c r="Q185" s="90">
        <f t="shared" si="62"/>
        <v>46025</v>
      </c>
      <c r="R185" s="279">
        <f>Q185/Q186</f>
        <v>0.1150625</v>
      </c>
      <c r="S185" s="114">
        <v>0</v>
      </c>
    </row>
    <row r="186" spans="1:19" ht="15.75" hidden="1" customHeight="1" outlineLevel="1" x14ac:dyDescent="0.25">
      <c r="A186" s="274"/>
      <c r="B186" s="277"/>
      <c r="C186" s="301"/>
      <c r="D186" s="81" t="s">
        <v>1</v>
      </c>
      <c r="E186" s="88">
        <v>40000</v>
      </c>
      <c r="F186" s="88">
        <v>35000</v>
      </c>
      <c r="G186" s="88">
        <v>40000</v>
      </c>
      <c r="H186" s="88">
        <v>30000</v>
      </c>
      <c r="I186" s="88">
        <v>40000</v>
      </c>
      <c r="J186" s="88">
        <v>20000</v>
      </c>
      <c r="K186" s="88">
        <v>20000</v>
      </c>
      <c r="L186" s="88">
        <v>35000</v>
      </c>
      <c r="M186" s="88">
        <v>30000</v>
      </c>
      <c r="N186" s="88">
        <v>40000</v>
      </c>
      <c r="O186" s="88">
        <v>20000</v>
      </c>
      <c r="P186" s="88">
        <v>50000</v>
      </c>
      <c r="Q186" s="155">
        <f t="shared" si="63"/>
        <v>400000</v>
      </c>
      <c r="R186" s="280"/>
      <c r="S186" s="113">
        <f>Q186/$Q$319</f>
        <v>2.4997656469705965E-2</v>
      </c>
    </row>
    <row r="187" spans="1:19" ht="16.5" hidden="1" customHeight="1" outlineLevel="1" thickBot="1" x14ac:dyDescent="0.3">
      <c r="A187" s="275"/>
      <c r="B187" s="278"/>
      <c r="C187" s="302"/>
      <c r="D187" s="102" t="s">
        <v>15</v>
      </c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4"/>
      <c r="R187" s="281"/>
      <c r="S187" s="107"/>
    </row>
    <row r="188" spans="1:19" ht="15.75" hidden="1" customHeight="1" outlineLevel="1" x14ac:dyDescent="0.25">
      <c r="A188" s="273" t="s">
        <v>51</v>
      </c>
      <c r="B188" s="276" t="s">
        <v>12</v>
      </c>
      <c r="C188" s="300" t="s">
        <v>57</v>
      </c>
      <c r="D188" s="77" t="s">
        <v>14</v>
      </c>
      <c r="E188" s="78">
        <v>10921.75</v>
      </c>
      <c r="F188" s="78"/>
      <c r="G188" s="79"/>
      <c r="H188" s="80"/>
      <c r="I188" s="80"/>
      <c r="J188" s="80"/>
      <c r="K188" s="80"/>
      <c r="L188" s="80"/>
      <c r="M188" s="80"/>
      <c r="N188" s="80"/>
      <c r="O188" s="80"/>
      <c r="P188" s="80"/>
      <c r="Q188" s="90">
        <f t="shared" si="62"/>
        <v>10921.75</v>
      </c>
      <c r="R188" s="279">
        <f>Q188/Q189</f>
        <v>7.2569767441860458E-2</v>
      </c>
      <c r="S188" s="114">
        <v>0</v>
      </c>
    </row>
    <row r="189" spans="1:19" ht="15.75" hidden="1" customHeight="1" outlineLevel="1" x14ac:dyDescent="0.25">
      <c r="A189" s="274"/>
      <c r="B189" s="277"/>
      <c r="C189" s="301"/>
      <c r="D189" s="81" t="s">
        <v>1</v>
      </c>
      <c r="E189" s="88">
        <v>12500</v>
      </c>
      <c r="F189" s="88">
        <v>12500</v>
      </c>
      <c r="G189" s="88">
        <v>12500</v>
      </c>
      <c r="H189" s="88">
        <v>12500</v>
      </c>
      <c r="I189" s="88">
        <v>12500</v>
      </c>
      <c r="J189" s="88">
        <v>12500</v>
      </c>
      <c r="K189" s="88">
        <v>12500</v>
      </c>
      <c r="L189" s="88">
        <v>12500</v>
      </c>
      <c r="M189" s="88">
        <v>12500</v>
      </c>
      <c r="N189" s="88">
        <v>12500</v>
      </c>
      <c r="O189" s="88">
        <v>13000</v>
      </c>
      <c r="P189" s="88">
        <v>12500</v>
      </c>
      <c r="Q189" s="155">
        <f t="shared" si="63"/>
        <v>150500</v>
      </c>
      <c r="R189" s="280"/>
      <c r="S189" s="113">
        <f>Q189/$Q$319</f>
        <v>9.4053682467268689E-3</v>
      </c>
    </row>
    <row r="190" spans="1:19" ht="16.5" hidden="1" customHeight="1" outlineLevel="1" thickBot="1" x14ac:dyDescent="0.3">
      <c r="A190" s="275"/>
      <c r="B190" s="278"/>
      <c r="C190" s="302"/>
      <c r="D190" s="102" t="s">
        <v>15</v>
      </c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4"/>
      <c r="R190" s="281"/>
      <c r="S190" s="107"/>
    </row>
    <row r="191" spans="1:19" ht="15.75" hidden="1" customHeight="1" outlineLevel="1" x14ac:dyDescent="0.25">
      <c r="A191" s="273" t="s">
        <v>51</v>
      </c>
      <c r="B191" s="276" t="s">
        <v>12</v>
      </c>
      <c r="C191" s="300" t="s">
        <v>58</v>
      </c>
      <c r="D191" s="77" t="s">
        <v>14</v>
      </c>
      <c r="E191" s="78">
        <v>13885</v>
      </c>
      <c r="F191" s="78"/>
      <c r="G191" s="79"/>
      <c r="H191" s="80"/>
      <c r="I191" s="80"/>
      <c r="J191" s="80"/>
      <c r="K191" s="80"/>
      <c r="L191" s="80"/>
      <c r="M191" s="80"/>
      <c r="N191" s="80"/>
      <c r="O191" s="80"/>
      <c r="P191" s="80"/>
      <c r="Q191" s="90">
        <f t="shared" si="62"/>
        <v>13885</v>
      </c>
      <c r="R191" s="279">
        <f>Q191/Q192</f>
        <v>8.1676470588235295E-2</v>
      </c>
      <c r="S191" s="114" t="e">
        <v>#REF!</v>
      </c>
    </row>
    <row r="192" spans="1:19" ht="15.75" hidden="1" customHeight="1" outlineLevel="1" x14ac:dyDescent="0.25">
      <c r="A192" s="274"/>
      <c r="B192" s="277"/>
      <c r="C192" s="301"/>
      <c r="D192" s="81" t="s">
        <v>1</v>
      </c>
      <c r="E192" s="88">
        <v>20000</v>
      </c>
      <c r="F192" s="88">
        <v>20000</v>
      </c>
      <c r="G192" s="88">
        <v>18000</v>
      </c>
      <c r="H192" s="88">
        <v>14000</v>
      </c>
      <c r="I192" s="88">
        <v>13000</v>
      </c>
      <c r="J192" s="88">
        <v>10000</v>
      </c>
      <c r="K192" s="88">
        <v>13000</v>
      </c>
      <c r="L192" s="88">
        <v>13000</v>
      </c>
      <c r="M192" s="88">
        <v>10000</v>
      </c>
      <c r="N192" s="88">
        <v>13000</v>
      </c>
      <c r="O192" s="88">
        <v>13000</v>
      </c>
      <c r="P192" s="88">
        <v>13000</v>
      </c>
      <c r="Q192" s="155">
        <f t="shared" si="63"/>
        <v>170000</v>
      </c>
      <c r="R192" s="280"/>
      <c r="S192" s="113">
        <f>Q192/$Q$319</f>
        <v>1.0624003999625035E-2</v>
      </c>
    </row>
    <row r="193" spans="1:19" ht="16.5" hidden="1" customHeight="1" outlineLevel="1" thickBot="1" x14ac:dyDescent="0.3">
      <c r="A193" s="275"/>
      <c r="B193" s="278"/>
      <c r="C193" s="302"/>
      <c r="D193" s="102" t="s">
        <v>15</v>
      </c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4"/>
      <c r="R193" s="281"/>
      <c r="S193" s="107"/>
    </row>
    <row r="194" spans="1:19" ht="15.75" hidden="1" customHeight="1" outlineLevel="1" x14ac:dyDescent="0.25">
      <c r="A194" s="273" t="s">
        <v>51</v>
      </c>
      <c r="B194" s="276" t="s">
        <v>12</v>
      </c>
      <c r="C194" s="300" t="s">
        <v>59</v>
      </c>
      <c r="D194" s="77" t="s">
        <v>14</v>
      </c>
      <c r="E194" s="78"/>
      <c r="F194" s="78"/>
      <c r="G194" s="79"/>
      <c r="H194" s="80"/>
      <c r="I194" s="80"/>
      <c r="J194" s="80"/>
      <c r="K194" s="80"/>
      <c r="L194" s="80"/>
      <c r="M194" s="80"/>
      <c r="N194" s="80"/>
      <c r="O194" s="80"/>
      <c r="P194" s="80"/>
      <c r="Q194" s="90">
        <f t="shared" si="62"/>
        <v>0</v>
      </c>
      <c r="R194" s="279">
        <f>Q194/Q195</f>
        <v>0</v>
      </c>
      <c r="S194" s="114" t="e">
        <v>#REF!</v>
      </c>
    </row>
    <row r="195" spans="1:19" ht="15.75" hidden="1" customHeight="1" outlineLevel="1" x14ac:dyDescent="0.25">
      <c r="A195" s="274"/>
      <c r="B195" s="277"/>
      <c r="C195" s="301"/>
      <c r="D195" s="81" t="s">
        <v>1</v>
      </c>
      <c r="E195" s="88">
        <v>3500</v>
      </c>
      <c r="F195" s="88">
        <v>3500</v>
      </c>
      <c r="G195" s="88">
        <v>3500</v>
      </c>
      <c r="H195" s="88">
        <v>3500</v>
      </c>
      <c r="I195" s="88">
        <v>3500</v>
      </c>
      <c r="J195" s="88">
        <v>3500</v>
      </c>
      <c r="K195" s="88">
        <v>3500</v>
      </c>
      <c r="L195" s="88">
        <v>3500</v>
      </c>
      <c r="M195" s="88">
        <v>3500</v>
      </c>
      <c r="N195" s="88">
        <v>3500</v>
      </c>
      <c r="O195" s="88">
        <v>3500</v>
      </c>
      <c r="P195" s="88">
        <v>3500</v>
      </c>
      <c r="Q195" s="155">
        <f t="shared" si="63"/>
        <v>42000</v>
      </c>
      <c r="R195" s="280"/>
      <c r="S195" s="113">
        <f>Q195/$Q$319</f>
        <v>2.6247539293191265E-3</v>
      </c>
    </row>
    <row r="196" spans="1:19" ht="16.5" hidden="1" customHeight="1" outlineLevel="1" thickBot="1" x14ac:dyDescent="0.3">
      <c r="A196" s="275"/>
      <c r="B196" s="278"/>
      <c r="C196" s="302"/>
      <c r="D196" s="102" t="s">
        <v>15</v>
      </c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4"/>
      <c r="R196" s="281"/>
      <c r="S196" s="107"/>
    </row>
    <row r="197" spans="1:19" ht="15.75" hidden="1" customHeight="1" outlineLevel="1" x14ac:dyDescent="0.25">
      <c r="A197" s="273" t="s">
        <v>51</v>
      </c>
      <c r="B197" s="276" t="s">
        <v>12</v>
      </c>
      <c r="C197" s="300" t="s">
        <v>60</v>
      </c>
      <c r="D197" s="77" t="s">
        <v>14</v>
      </c>
      <c r="E197" s="78">
        <v>11524.8</v>
      </c>
      <c r="F197" s="78"/>
      <c r="G197" s="79"/>
      <c r="H197" s="80"/>
      <c r="I197" s="80"/>
      <c r="J197" s="80"/>
      <c r="K197" s="80"/>
      <c r="L197" s="80"/>
      <c r="M197" s="80"/>
      <c r="N197" s="80"/>
      <c r="O197" s="80"/>
      <c r="P197" s="80"/>
      <c r="Q197" s="90">
        <f t="shared" si="62"/>
        <v>11524.8</v>
      </c>
      <c r="R197" s="279">
        <f>Q197/Q198</f>
        <v>7.6831999999999998E-2</v>
      </c>
      <c r="S197" s="114" t="e">
        <v>#REF!</v>
      </c>
    </row>
    <row r="198" spans="1:19" ht="15.75" hidden="1" customHeight="1" outlineLevel="1" x14ac:dyDescent="0.25">
      <c r="A198" s="274"/>
      <c r="B198" s="277"/>
      <c r="C198" s="301"/>
      <c r="D198" s="81" t="s">
        <v>1</v>
      </c>
      <c r="E198" s="88">
        <v>12500</v>
      </c>
      <c r="F198" s="88">
        <v>12500</v>
      </c>
      <c r="G198" s="88">
        <v>12500</v>
      </c>
      <c r="H198" s="88">
        <v>12500</v>
      </c>
      <c r="I198" s="88">
        <v>12500</v>
      </c>
      <c r="J198" s="88">
        <v>12500</v>
      </c>
      <c r="K198" s="88">
        <v>12500</v>
      </c>
      <c r="L198" s="88">
        <v>12500</v>
      </c>
      <c r="M198" s="88">
        <v>12500</v>
      </c>
      <c r="N198" s="88">
        <v>12500</v>
      </c>
      <c r="O198" s="88">
        <v>12500</v>
      </c>
      <c r="P198" s="88">
        <v>12500</v>
      </c>
      <c r="Q198" s="155">
        <f t="shared" si="63"/>
        <v>150000</v>
      </c>
      <c r="R198" s="280"/>
      <c r="S198" s="113">
        <f>Q198/$Q$319</f>
        <v>9.3741211761397374E-3</v>
      </c>
    </row>
    <row r="199" spans="1:19" ht="16.5" hidden="1" customHeight="1" outlineLevel="1" thickBot="1" x14ac:dyDescent="0.3">
      <c r="A199" s="275"/>
      <c r="B199" s="278"/>
      <c r="C199" s="302"/>
      <c r="D199" s="102" t="s">
        <v>15</v>
      </c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4"/>
      <c r="R199" s="281"/>
      <c r="S199" s="107"/>
    </row>
    <row r="200" spans="1:19" ht="15.75" hidden="1" customHeight="1" outlineLevel="1" x14ac:dyDescent="0.25">
      <c r="A200" s="273" t="s">
        <v>51</v>
      </c>
      <c r="B200" s="276" t="s">
        <v>12</v>
      </c>
      <c r="C200" s="300" t="s">
        <v>61</v>
      </c>
      <c r="D200" s="77" t="s">
        <v>14</v>
      </c>
      <c r="E200" s="78">
        <v>10400.68</v>
      </c>
      <c r="F200" s="78"/>
      <c r="G200" s="79"/>
      <c r="H200" s="80"/>
      <c r="I200" s="80"/>
      <c r="J200" s="80"/>
      <c r="K200" s="80"/>
      <c r="L200" s="80"/>
      <c r="M200" s="80"/>
      <c r="N200" s="80"/>
      <c r="O200" s="80"/>
      <c r="P200" s="80"/>
      <c r="Q200" s="90">
        <f t="shared" si="62"/>
        <v>10400.68</v>
      </c>
      <c r="R200" s="279">
        <f>Q200/Q201</f>
        <v>0.14858114285714286</v>
      </c>
      <c r="S200" s="114" t="e">
        <v>#REF!</v>
      </c>
    </row>
    <row r="201" spans="1:19" ht="15.75" hidden="1" customHeight="1" outlineLevel="1" x14ac:dyDescent="0.25">
      <c r="A201" s="274"/>
      <c r="B201" s="277"/>
      <c r="C201" s="301"/>
      <c r="D201" s="81" t="s">
        <v>1</v>
      </c>
      <c r="E201" s="88">
        <v>5000</v>
      </c>
      <c r="F201" s="88">
        <v>6500</v>
      </c>
      <c r="G201" s="88">
        <v>5000</v>
      </c>
      <c r="H201" s="88">
        <v>4000</v>
      </c>
      <c r="I201" s="88">
        <v>5500</v>
      </c>
      <c r="J201" s="88">
        <v>3000</v>
      </c>
      <c r="K201" s="88">
        <v>8000</v>
      </c>
      <c r="L201" s="88">
        <v>3000</v>
      </c>
      <c r="M201" s="88">
        <v>6500</v>
      </c>
      <c r="N201" s="88">
        <v>7000</v>
      </c>
      <c r="O201" s="88">
        <v>6500</v>
      </c>
      <c r="P201" s="88">
        <v>10000</v>
      </c>
      <c r="Q201" s="155">
        <f t="shared" si="63"/>
        <v>70000</v>
      </c>
      <c r="R201" s="280"/>
      <c r="S201" s="113">
        <f>Q201/$Q$319</f>
        <v>4.3745898821985442E-3</v>
      </c>
    </row>
    <row r="202" spans="1:19" ht="16.5" hidden="1" customHeight="1" outlineLevel="1" thickBot="1" x14ac:dyDescent="0.3">
      <c r="A202" s="275"/>
      <c r="B202" s="278"/>
      <c r="C202" s="302"/>
      <c r="D202" s="102" t="s">
        <v>15</v>
      </c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4"/>
      <c r="R202" s="281"/>
      <c r="S202" s="107"/>
    </row>
    <row r="203" spans="1:19" ht="15.75" hidden="1" customHeight="1" outlineLevel="1" x14ac:dyDescent="0.25">
      <c r="A203" s="273" t="s">
        <v>51</v>
      </c>
      <c r="B203" s="276" t="s">
        <v>12</v>
      </c>
      <c r="C203" s="300" t="s">
        <v>62</v>
      </c>
      <c r="D203" s="77" t="s">
        <v>14</v>
      </c>
      <c r="E203" s="78">
        <v>2628.9</v>
      </c>
      <c r="F203" s="78"/>
      <c r="G203" s="79"/>
      <c r="H203" s="80"/>
      <c r="I203" s="80"/>
      <c r="J203" s="80"/>
      <c r="K203" s="80"/>
      <c r="L203" s="80"/>
      <c r="M203" s="80"/>
      <c r="N203" s="80"/>
      <c r="O203" s="80"/>
      <c r="P203" s="80"/>
      <c r="Q203" s="90">
        <f t="shared" si="62"/>
        <v>2628.9</v>
      </c>
      <c r="R203" s="279">
        <f>Q203/Q204</f>
        <v>3.7555714285714289E-2</v>
      </c>
      <c r="S203" s="114" t="e">
        <v>#REF!</v>
      </c>
    </row>
    <row r="204" spans="1:19" ht="15.75" hidden="1" customHeight="1" outlineLevel="1" x14ac:dyDescent="0.25">
      <c r="A204" s="274"/>
      <c r="B204" s="277"/>
      <c r="C204" s="301"/>
      <c r="D204" s="81" t="s">
        <v>1</v>
      </c>
      <c r="E204" s="88">
        <v>5000</v>
      </c>
      <c r="F204" s="88">
        <v>5000</v>
      </c>
      <c r="G204" s="88">
        <v>10000</v>
      </c>
      <c r="H204" s="88">
        <v>2500</v>
      </c>
      <c r="I204" s="88">
        <v>5000</v>
      </c>
      <c r="J204" s="88">
        <v>5000</v>
      </c>
      <c r="K204" s="88">
        <v>5000</v>
      </c>
      <c r="L204" s="88">
        <v>7500</v>
      </c>
      <c r="M204" s="88">
        <v>5000</v>
      </c>
      <c r="N204" s="88">
        <v>10000</v>
      </c>
      <c r="O204" s="88">
        <v>5000</v>
      </c>
      <c r="P204" s="88">
        <v>5000</v>
      </c>
      <c r="Q204" s="155">
        <f t="shared" si="63"/>
        <v>70000</v>
      </c>
      <c r="R204" s="280"/>
      <c r="S204" s="113">
        <f>Q204/$Q$319</f>
        <v>4.3745898821985442E-3</v>
      </c>
    </row>
    <row r="205" spans="1:19" ht="16.5" hidden="1" customHeight="1" outlineLevel="1" thickBot="1" x14ac:dyDescent="0.3">
      <c r="A205" s="275"/>
      <c r="B205" s="278"/>
      <c r="C205" s="302"/>
      <c r="D205" s="102" t="s">
        <v>15</v>
      </c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4"/>
      <c r="R205" s="281"/>
      <c r="S205" s="107"/>
    </row>
    <row r="206" spans="1:19" ht="15.75" hidden="1" customHeight="1" outlineLevel="1" x14ac:dyDescent="0.25">
      <c r="A206" s="273" t="s">
        <v>51</v>
      </c>
      <c r="B206" s="276" t="s">
        <v>12</v>
      </c>
      <c r="C206" s="300" t="s">
        <v>63</v>
      </c>
      <c r="D206" s="77" t="s">
        <v>14</v>
      </c>
      <c r="E206" s="78">
        <v>6839</v>
      </c>
      <c r="F206" s="78"/>
      <c r="G206" s="79"/>
      <c r="H206" s="80"/>
      <c r="I206" s="80"/>
      <c r="J206" s="80"/>
      <c r="K206" s="143"/>
      <c r="L206" s="144"/>
      <c r="M206" s="80"/>
      <c r="N206" s="80"/>
      <c r="O206" s="80"/>
      <c r="P206" s="80"/>
      <c r="Q206" s="90">
        <f t="shared" si="62"/>
        <v>6839</v>
      </c>
      <c r="R206" s="279">
        <f>Q206/Q207</f>
        <v>0.13678000000000001</v>
      </c>
      <c r="S206" s="114" t="e">
        <v>#REF!</v>
      </c>
    </row>
    <row r="207" spans="1:19" ht="15.75" hidden="1" customHeight="1" outlineLevel="1" x14ac:dyDescent="0.25">
      <c r="A207" s="274"/>
      <c r="B207" s="277"/>
      <c r="C207" s="301"/>
      <c r="D207" s="81" t="s">
        <v>1</v>
      </c>
      <c r="E207" s="88">
        <v>2500</v>
      </c>
      <c r="F207" s="88">
        <v>7000</v>
      </c>
      <c r="G207" s="88">
        <v>500</v>
      </c>
      <c r="H207" s="88">
        <v>3000</v>
      </c>
      <c r="I207" s="88">
        <v>8000</v>
      </c>
      <c r="J207" s="88">
        <v>3000</v>
      </c>
      <c r="K207" s="88">
        <v>2000</v>
      </c>
      <c r="L207" s="88">
        <v>4000</v>
      </c>
      <c r="M207" s="88">
        <v>6000</v>
      </c>
      <c r="N207" s="88">
        <v>4000</v>
      </c>
      <c r="O207" s="88">
        <v>5000</v>
      </c>
      <c r="P207" s="88">
        <v>5000</v>
      </c>
      <c r="Q207" s="155">
        <f t="shared" si="63"/>
        <v>50000</v>
      </c>
      <c r="R207" s="280"/>
      <c r="S207" s="113">
        <f>Q207/$Q$319</f>
        <v>3.1247070587132456E-3</v>
      </c>
    </row>
    <row r="208" spans="1:19" ht="16.5" hidden="1" customHeight="1" outlineLevel="1" thickBot="1" x14ac:dyDescent="0.3">
      <c r="A208" s="275"/>
      <c r="B208" s="278"/>
      <c r="C208" s="302"/>
      <c r="D208" s="102" t="s">
        <v>15</v>
      </c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4"/>
      <c r="R208" s="281"/>
      <c r="S208" s="107"/>
    </row>
    <row r="209" spans="1:19" ht="15.75" hidden="1" customHeight="1" outlineLevel="1" x14ac:dyDescent="0.25">
      <c r="A209" s="273" t="s">
        <v>51</v>
      </c>
      <c r="B209" s="276" t="s">
        <v>12</v>
      </c>
      <c r="C209" s="300" t="s">
        <v>64</v>
      </c>
      <c r="D209" s="77" t="s">
        <v>14</v>
      </c>
      <c r="E209" s="78">
        <v>3999</v>
      </c>
      <c r="F209" s="78"/>
      <c r="G209" s="79"/>
      <c r="H209" s="80"/>
      <c r="I209" s="80"/>
      <c r="J209" s="80"/>
      <c r="K209" s="80"/>
      <c r="L209" s="80"/>
      <c r="M209" s="80"/>
      <c r="N209" s="80"/>
      <c r="O209" s="80"/>
      <c r="P209" s="80"/>
      <c r="Q209" s="90">
        <f t="shared" si="62"/>
        <v>3999</v>
      </c>
      <c r="R209" s="279">
        <f>Q209/Q210</f>
        <v>7.9188118811881189E-2</v>
      </c>
      <c r="S209" s="114" t="e">
        <v>#REF!</v>
      </c>
    </row>
    <row r="210" spans="1:19" ht="15.75" hidden="1" customHeight="1" outlineLevel="1" x14ac:dyDescent="0.25">
      <c r="A210" s="274"/>
      <c r="B210" s="277"/>
      <c r="C210" s="301"/>
      <c r="D210" s="81" t="s">
        <v>1</v>
      </c>
      <c r="E210" s="88">
        <v>3000</v>
      </c>
      <c r="F210" s="88">
        <v>3000</v>
      </c>
      <c r="G210" s="88">
        <v>10000</v>
      </c>
      <c r="H210" s="88">
        <v>3000</v>
      </c>
      <c r="I210" s="88">
        <v>10000</v>
      </c>
      <c r="J210" s="88">
        <v>3000</v>
      </c>
      <c r="K210" s="88">
        <v>3000</v>
      </c>
      <c r="L210" s="88">
        <v>3500</v>
      </c>
      <c r="M210" s="88">
        <v>3000</v>
      </c>
      <c r="N210" s="88">
        <v>3000</v>
      </c>
      <c r="O210" s="88">
        <v>3000</v>
      </c>
      <c r="P210" s="88">
        <v>3000</v>
      </c>
      <c r="Q210" s="155">
        <f t="shared" si="63"/>
        <v>50500</v>
      </c>
      <c r="R210" s="280"/>
      <c r="S210" s="113">
        <f>Q210/$Q$319</f>
        <v>3.155954129300378E-3</v>
      </c>
    </row>
    <row r="211" spans="1:19" ht="16.5" hidden="1" customHeight="1" outlineLevel="1" thickBot="1" x14ac:dyDescent="0.3">
      <c r="A211" s="275"/>
      <c r="B211" s="278"/>
      <c r="C211" s="302"/>
      <c r="D211" s="102" t="s">
        <v>15</v>
      </c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4"/>
      <c r="R211" s="281"/>
      <c r="S211" s="107"/>
    </row>
    <row r="212" spans="1:19" ht="15.75" hidden="1" customHeight="1" outlineLevel="1" x14ac:dyDescent="0.25">
      <c r="A212" s="273" t="s">
        <v>51</v>
      </c>
      <c r="B212" s="276" t="s">
        <v>12</v>
      </c>
      <c r="C212" s="300" t="s">
        <v>65</v>
      </c>
      <c r="D212" s="77" t="s">
        <v>14</v>
      </c>
      <c r="E212" s="78">
        <v>4893</v>
      </c>
      <c r="F212" s="78"/>
      <c r="G212" s="79"/>
      <c r="H212" s="80"/>
      <c r="I212" s="80"/>
      <c r="J212" s="80"/>
      <c r="K212" s="80"/>
      <c r="L212" s="80"/>
      <c r="M212" s="80"/>
      <c r="N212" s="80"/>
      <c r="O212" s="80"/>
      <c r="P212" s="80"/>
      <c r="Q212" s="90">
        <f t="shared" si="62"/>
        <v>4893</v>
      </c>
      <c r="R212" s="279">
        <f>Q212/Q213</f>
        <v>9.7860000000000003E-2</v>
      </c>
      <c r="S212" s="114" t="e">
        <v>#REF!</v>
      </c>
    </row>
    <row r="213" spans="1:19" ht="15.75" hidden="1" customHeight="1" outlineLevel="1" x14ac:dyDescent="0.25">
      <c r="A213" s="274"/>
      <c r="B213" s="277"/>
      <c r="C213" s="301"/>
      <c r="D213" s="81" t="s">
        <v>1</v>
      </c>
      <c r="E213" s="88">
        <v>2500</v>
      </c>
      <c r="F213" s="88">
        <v>5500</v>
      </c>
      <c r="G213" s="88">
        <v>2500</v>
      </c>
      <c r="H213" s="88">
        <v>5500</v>
      </c>
      <c r="I213" s="88">
        <v>5500</v>
      </c>
      <c r="J213" s="88">
        <v>2500</v>
      </c>
      <c r="K213" s="88">
        <v>2500</v>
      </c>
      <c r="L213" s="88">
        <v>5500</v>
      </c>
      <c r="M213" s="88">
        <v>5500</v>
      </c>
      <c r="N213" s="88">
        <v>2500</v>
      </c>
      <c r="O213" s="88">
        <v>5000</v>
      </c>
      <c r="P213" s="88">
        <v>5000</v>
      </c>
      <c r="Q213" s="155">
        <f t="shared" si="63"/>
        <v>50000</v>
      </c>
      <c r="R213" s="280"/>
      <c r="S213" s="113">
        <f>Q213/$Q$319</f>
        <v>3.1247070587132456E-3</v>
      </c>
    </row>
    <row r="214" spans="1:19" ht="16.5" hidden="1" customHeight="1" outlineLevel="1" thickBot="1" x14ac:dyDescent="0.3">
      <c r="A214" s="275"/>
      <c r="B214" s="278"/>
      <c r="C214" s="302"/>
      <c r="D214" s="102" t="s">
        <v>15</v>
      </c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4"/>
      <c r="R214" s="281"/>
      <c r="S214" s="107"/>
    </row>
    <row r="215" spans="1:19" ht="15.75" hidden="1" customHeight="1" outlineLevel="1" x14ac:dyDescent="0.25">
      <c r="A215" s="273" t="s">
        <v>51</v>
      </c>
      <c r="B215" s="276" t="s">
        <v>12</v>
      </c>
      <c r="C215" s="300" t="s">
        <v>66</v>
      </c>
      <c r="D215" s="77" t="s">
        <v>14</v>
      </c>
      <c r="E215" s="78">
        <v>10811.1</v>
      </c>
      <c r="F215" s="78"/>
      <c r="G215" s="79"/>
      <c r="H215" s="80"/>
      <c r="I215" s="80"/>
      <c r="J215" s="80"/>
      <c r="K215" s="80"/>
      <c r="L215" s="80"/>
      <c r="M215" s="80"/>
      <c r="N215" s="80"/>
      <c r="O215" s="80"/>
      <c r="P215" s="80"/>
      <c r="Q215" s="90">
        <f t="shared" si="62"/>
        <v>10811.1</v>
      </c>
      <c r="R215" s="279">
        <f>Q215/Q216</f>
        <v>0.12012333333333333</v>
      </c>
      <c r="S215" s="114" t="e">
        <v>#REF!</v>
      </c>
    </row>
    <row r="216" spans="1:19" ht="15.75" hidden="1" customHeight="1" outlineLevel="1" x14ac:dyDescent="0.25">
      <c r="A216" s="274"/>
      <c r="B216" s="277"/>
      <c r="C216" s="301"/>
      <c r="D216" s="81" t="s">
        <v>1</v>
      </c>
      <c r="E216" s="88">
        <v>6000</v>
      </c>
      <c r="F216" s="88">
        <v>10000</v>
      </c>
      <c r="G216" s="88">
        <v>10000</v>
      </c>
      <c r="H216" s="88">
        <v>12500</v>
      </c>
      <c r="I216" s="88">
        <v>10500</v>
      </c>
      <c r="J216" s="88">
        <v>7000</v>
      </c>
      <c r="K216" s="88">
        <v>5000</v>
      </c>
      <c r="L216" s="88">
        <v>5500</v>
      </c>
      <c r="M216" s="88">
        <v>5500</v>
      </c>
      <c r="N216" s="88">
        <v>7000</v>
      </c>
      <c r="O216" s="88">
        <v>5500</v>
      </c>
      <c r="P216" s="88">
        <v>5500</v>
      </c>
      <c r="Q216" s="155">
        <f t="shared" si="63"/>
        <v>90000</v>
      </c>
      <c r="R216" s="280"/>
      <c r="S216" s="113">
        <f>Q216/$Q$319</f>
        <v>5.6244727056838422E-3</v>
      </c>
    </row>
    <row r="217" spans="1:19" ht="16.5" hidden="1" customHeight="1" outlineLevel="1" thickBot="1" x14ac:dyDescent="0.3">
      <c r="A217" s="275"/>
      <c r="B217" s="278"/>
      <c r="C217" s="302"/>
      <c r="D217" s="102" t="s">
        <v>15</v>
      </c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4"/>
      <c r="R217" s="281"/>
      <c r="S217" s="107"/>
    </row>
    <row r="218" spans="1:19" ht="15.75" hidden="1" customHeight="1" outlineLevel="1" x14ac:dyDescent="0.25">
      <c r="A218" s="273" t="s">
        <v>51</v>
      </c>
      <c r="B218" s="276" t="s">
        <v>12</v>
      </c>
      <c r="C218" s="300" t="s">
        <v>124</v>
      </c>
      <c r="D218" s="77" t="s">
        <v>14</v>
      </c>
      <c r="E218" s="78">
        <v>10140.58</v>
      </c>
      <c r="F218" s="78"/>
      <c r="G218" s="79"/>
      <c r="H218" s="80"/>
      <c r="I218" s="80"/>
      <c r="J218" s="80"/>
      <c r="K218" s="80"/>
      <c r="L218" s="80"/>
      <c r="M218" s="80"/>
      <c r="N218" s="80"/>
      <c r="O218" s="80"/>
      <c r="P218" s="80"/>
      <c r="Q218" s="90">
        <f t="shared" si="62"/>
        <v>10140.58</v>
      </c>
      <c r="R218" s="279">
        <f>Q218/Q219</f>
        <v>9.0946905829596414E-2</v>
      </c>
      <c r="S218" s="114" t="e">
        <v>#REF!</v>
      </c>
    </row>
    <row r="219" spans="1:19" ht="15.75" hidden="1" customHeight="1" outlineLevel="1" x14ac:dyDescent="0.25">
      <c r="A219" s="274"/>
      <c r="B219" s="277"/>
      <c r="C219" s="301"/>
      <c r="D219" s="81" t="s">
        <v>1</v>
      </c>
      <c r="E219" s="88">
        <v>9000</v>
      </c>
      <c r="F219" s="88">
        <v>9000</v>
      </c>
      <c r="G219" s="88">
        <v>8500</v>
      </c>
      <c r="H219" s="88">
        <v>8500</v>
      </c>
      <c r="I219" s="88">
        <v>8500</v>
      </c>
      <c r="J219" s="88">
        <v>8500</v>
      </c>
      <c r="K219" s="88">
        <v>5500</v>
      </c>
      <c r="L219" s="88">
        <v>8500</v>
      </c>
      <c r="M219" s="88">
        <v>8500</v>
      </c>
      <c r="N219" s="88">
        <v>8500</v>
      </c>
      <c r="O219" s="88">
        <v>20000</v>
      </c>
      <c r="P219" s="88">
        <v>8500</v>
      </c>
      <c r="Q219" s="155">
        <f t="shared" si="63"/>
        <v>111500</v>
      </c>
      <c r="R219" s="280"/>
      <c r="S219" s="113">
        <f>Q219/$Q$319</f>
        <v>6.9680967409305374E-3</v>
      </c>
    </row>
    <row r="220" spans="1:19" ht="16.5" hidden="1" customHeight="1" outlineLevel="1" thickBot="1" x14ac:dyDescent="0.3">
      <c r="A220" s="275"/>
      <c r="B220" s="278"/>
      <c r="C220" s="302"/>
      <c r="D220" s="105" t="s">
        <v>15</v>
      </c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4"/>
      <c r="R220" s="281"/>
      <c r="S220" s="107"/>
    </row>
    <row r="221" spans="1:19" ht="15.75" hidden="1" customHeight="1" outlineLevel="1" x14ac:dyDescent="0.25">
      <c r="A221" s="273" t="s">
        <v>51</v>
      </c>
      <c r="B221" s="276" t="s">
        <v>12</v>
      </c>
      <c r="C221" s="300" t="s">
        <v>67</v>
      </c>
      <c r="D221" s="77" t="s">
        <v>14</v>
      </c>
      <c r="E221" s="78">
        <v>23576.29</v>
      </c>
      <c r="F221" s="78"/>
      <c r="G221" s="79"/>
      <c r="H221" s="80"/>
      <c r="I221" s="80"/>
      <c r="J221" s="80"/>
      <c r="K221" s="80"/>
      <c r="L221" s="80"/>
      <c r="M221" s="80"/>
      <c r="N221" s="80"/>
      <c r="O221" s="80"/>
      <c r="P221" s="80"/>
      <c r="Q221" s="90">
        <f t="shared" si="62"/>
        <v>23576.29</v>
      </c>
      <c r="R221" s="279">
        <f>Q221/Q222</f>
        <v>0.10250560869565217</v>
      </c>
      <c r="S221" s="114" t="e">
        <v>#REF!</v>
      </c>
    </row>
    <row r="222" spans="1:19" ht="15.75" hidden="1" customHeight="1" outlineLevel="1" x14ac:dyDescent="0.25">
      <c r="A222" s="274"/>
      <c r="B222" s="277"/>
      <c r="C222" s="301"/>
      <c r="D222" s="81" t="s">
        <v>1</v>
      </c>
      <c r="E222" s="88">
        <v>20000</v>
      </c>
      <c r="F222" s="88">
        <v>20000</v>
      </c>
      <c r="G222" s="88">
        <v>20000</v>
      </c>
      <c r="H222" s="88">
        <v>20000</v>
      </c>
      <c r="I222" s="88">
        <v>20000</v>
      </c>
      <c r="J222" s="88">
        <v>20000</v>
      </c>
      <c r="K222" s="88">
        <v>10000</v>
      </c>
      <c r="L222" s="88">
        <v>20000</v>
      </c>
      <c r="M222" s="88">
        <v>20000</v>
      </c>
      <c r="N222" s="88">
        <v>20000</v>
      </c>
      <c r="O222" s="88">
        <v>20000</v>
      </c>
      <c r="P222" s="88">
        <v>20000</v>
      </c>
      <c r="Q222" s="155">
        <f t="shared" si="63"/>
        <v>230000</v>
      </c>
      <c r="R222" s="280"/>
      <c r="S222" s="113">
        <f>Q222/$Q$319</f>
        <v>1.437365247008093E-2</v>
      </c>
    </row>
    <row r="223" spans="1:19" ht="16.5" hidden="1" customHeight="1" outlineLevel="1" thickBot="1" x14ac:dyDescent="0.3">
      <c r="A223" s="275"/>
      <c r="B223" s="278"/>
      <c r="C223" s="302"/>
      <c r="D223" s="102" t="s">
        <v>15</v>
      </c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4"/>
      <c r="R223" s="281"/>
      <c r="S223" s="107"/>
    </row>
    <row r="224" spans="1:19" ht="15.75" hidden="1" customHeight="1" outlineLevel="1" x14ac:dyDescent="0.25">
      <c r="A224" s="273" t="s">
        <v>51</v>
      </c>
      <c r="B224" s="276" t="s">
        <v>12</v>
      </c>
      <c r="C224" s="300" t="s">
        <v>68</v>
      </c>
      <c r="D224" s="77" t="s">
        <v>14</v>
      </c>
      <c r="E224" s="78">
        <v>14481.54</v>
      </c>
      <c r="F224" s="78"/>
      <c r="G224" s="79"/>
      <c r="H224" s="80"/>
      <c r="I224" s="80"/>
      <c r="J224" s="80"/>
      <c r="K224" s="80"/>
      <c r="L224" s="80"/>
      <c r="M224" s="80"/>
      <c r="N224" s="80"/>
      <c r="O224" s="80"/>
      <c r="P224" s="80"/>
      <c r="Q224" s="90">
        <f t="shared" si="62"/>
        <v>14481.54</v>
      </c>
      <c r="R224" s="279">
        <f>Q224/Q225</f>
        <v>4.8271800000000004E-2</v>
      </c>
      <c r="S224" s="114" t="e">
        <v>#REF!</v>
      </c>
    </row>
    <row r="225" spans="1:20" ht="15.75" hidden="1" customHeight="1" outlineLevel="1" x14ac:dyDescent="0.25">
      <c r="A225" s="274"/>
      <c r="B225" s="277"/>
      <c r="C225" s="301"/>
      <c r="D225" s="81" t="s">
        <v>1</v>
      </c>
      <c r="E225" s="88">
        <v>25000</v>
      </c>
      <c r="F225" s="88">
        <v>25000</v>
      </c>
      <c r="G225" s="88">
        <v>25000</v>
      </c>
      <c r="H225" s="88">
        <v>25000</v>
      </c>
      <c r="I225" s="88">
        <v>25000</v>
      </c>
      <c r="J225" s="88">
        <v>25000</v>
      </c>
      <c r="K225" s="88">
        <v>25000</v>
      </c>
      <c r="L225" s="88">
        <v>25000</v>
      </c>
      <c r="M225" s="88">
        <v>25000</v>
      </c>
      <c r="N225" s="88">
        <v>25000</v>
      </c>
      <c r="O225" s="88">
        <v>25000</v>
      </c>
      <c r="P225" s="88">
        <v>25000</v>
      </c>
      <c r="Q225" s="155">
        <f t="shared" si="63"/>
        <v>300000</v>
      </c>
      <c r="R225" s="280"/>
      <c r="S225" s="113">
        <f>Q225/$Q$319</f>
        <v>1.8748242352279475E-2</v>
      </c>
    </row>
    <row r="226" spans="1:20" ht="16.5" hidden="1" customHeight="1" outlineLevel="1" thickBot="1" x14ac:dyDescent="0.3">
      <c r="A226" s="275"/>
      <c r="B226" s="278"/>
      <c r="C226" s="302"/>
      <c r="D226" s="102" t="s">
        <v>15</v>
      </c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4"/>
      <c r="R226" s="281"/>
      <c r="S226" s="107"/>
    </row>
    <row r="227" spans="1:20" ht="15.75" hidden="1" customHeight="1" outlineLevel="1" x14ac:dyDescent="0.25">
      <c r="A227" s="273" t="s">
        <v>51</v>
      </c>
      <c r="B227" s="276" t="s">
        <v>12</v>
      </c>
      <c r="C227" s="300" t="s">
        <v>69</v>
      </c>
      <c r="D227" s="77" t="s">
        <v>14</v>
      </c>
      <c r="E227" s="78">
        <v>14553.46</v>
      </c>
      <c r="F227" s="78"/>
      <c r="G227" s="79"/>
      <c r="H227" s="80"/>
      <c r="I227" s="80"/>
      <c r="J227" s="80"/>
      <c r="K227" s="80"/>
      <c r="L227" s="80"/>
      <c r="M227" s="80"/>
      <c r="N227" s="80"/>
      <c r="O227" s="80"/>
      <c r="P227" s="80"/>
      <c r="Q227" s="90">
        <f t="shared" si="62"/>
        <v>14553.46</v>
      </c>
      <c r="R227" s="279">
        <f>Q227/Q228</f>
        <v>9.7023066666666657E-2</v>
      </c>
      <c r="S227" s="114" t="e">
        <v>#REF!</v>
      </c>
    </row>
    <row r="228" spans="1:20" ht="15.75" hidden="1" customHeight="1" outlineLevel="1" x14ac:dyDescent="0.25">
      <c r="A228" s="274"/>
      <c r="B228" s="277"/>
      <c r="C228" s="301"/>
      <c r="D228" s="81" t="s">
        <v>1</v>
      </c>
      <c r="E228" s="88">
        <v>12500</v>
      </c>
      <c r="F228" s="88">
        <v>12500</v>
      </c>
      <c r="G228" s="88">
        <v>12500</v>
      </c>
      <c r="H228" s="88">
        <v>12500</v>
      </c>
      <c r="I228" s="88">
        <v>12500</v>
      </c>
      <c r="J228" s="88">
        <v>12500</v>
      </c>
      <c r="K228" s="88">
        <v>12500</v>
      </c>
      <c r="L228" s="88">
        <v>12500</v>
      </c>
      <c r="M228" s="88">
        <v>12500</v>
      </c>
      <c r="N228" s="88">
        <v>12500</v>
      </c>
      <c r="O228" s="88">
        <v>12500</v>
      </c>
      <c r="P228" s="88">
        <v>12500</v>
      </c>
      <c r="Q228" s="155">
        <f t="shared" si="63"/>
        <v>150000</v>
      </c>
      <c r="R228" s="280"/>
      <c r="S228" s="113">
        <f>Q228/$Q$319</f>
        <v>9.3741211761397374E-3</v>
      </c>
    </row>
    <row r="229" spans="1:20" ht="16.5" hidden="1" customHeight="1" outlineLevel="1" thickBot="1" x14ac:dyDescent="0.3">
      <c r="A229" s="275"/>
      <c r="B229" s="278"/>
      <c r="C229" s="302"/>
      <c r="D229" s="102" t="s">
        <v>15</v>
      </c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4"/>
      <c r="R229" s="281"/>
      <c r="S229" s="107"/>
    </row>
    <row r="230" spans="1:20" ht="15.75" hidden="1" customHeight="1" outlineLevel="1" x14ac:dyDescent="0.25">
      <c r="A230" s="273" t="s">
        <v>51</v>
      </c>
      <c r="B230" s="276" t="s">
        <v>12</v>
      </c>
      <c r="C230" s="300" t="s">
        <v>70</v>
      </c>
      <c r="D230" s="77" t="s">
        <v>14</v>
      </c>
      <c r="E230" s="78">
        <v>1282.82</v>
      </c>
      <c r="F230" s="78"/>
      <c r="G230" s="79"/>
      <c r="H230" s="80"/>
      <c r="I230" s="80"/>
      <c r="J230" s="80"/>
      <c r="K230" s="80"/>
      <c r="L230" s="80"/>
      <c r="M230" s="80"/>
      <c r="N230" s="80"/>
      <c r="P230" s="80"/>
      <c r="Q230" s="90">
        <f t="shared" ref="Q230" si="64">+SUM(E230:P230)</f>
        <v>1282.82</v>
      </c>
      <c r="R230" s="279">
        <f>Q230/Q231</f>
        <v>2.3323999999999998E-2</v>
      </c>
      <c r="S230" s="114" t="e">
        <v>#REF!</v>
      </c>
    </row>
    <row r="231" spans="1:20" ht="15.75" hidden="1" customHeight="1" outlineLevel="1" x14ac:dyDescent="0.25">
      <c r="A231" s="274"/>
      <c r="B231" s="277"/>
      <c r="C231" s="301"/>
      <c r="D231" s="81" t="s">
        <v>1</v>
      </c>
      <c r="E231" s="88">
        <v>1000</v>
      </c>
      <c r="F231" s="88">
        <v>11000</v>
      </c>
      <c r="G231" s="88">
        <v>2000</v>
      </c>
      <c r="H231" s="88">
        <v>8000</v>
      </c>
      <c r="I231" s="88">
        <v>1500</v>
      </c>
      <c r="J231" s="88">
        <v>4000</v>
      </c>
      <c r="K231" s="88">
        <v>1500</v>
      </c>
      <c r="L231" s="88">
        <v>1500</v>
      </c>
      <c r="M231" s="88">
        <v>8000</v>
      </c>
      <c r="N231" s="88">
        <v>7500</v>
      </c>
      <c r="O231" s="88">
        <v>4500</v>
      </c>
      <c r="P231" s="88">
        <v>4500</v>
      </c>
      <c r="Q231" s="155">
        <f t="shared" ref="Q231" si="65">SUM(E231:P231)</f>
        <v>55000</v>
      </c>
      <c r="R231" s="280"/>
      <c r="S231" s="113">
        <f>Q231/$Q$319</f>
        <v>3.4371777645845702E-3</v>
      </c>
    </row>
    <row r="232" spans="1:20" ht="16.5" hidden="1" customHeight="1" outlineLevel="1" thickBot="1" x14ac:dyDescent="0.3">
      <c r="A232" s="275"/>
      <c r="B232" s="278"/>
      <c r="C232" s="302"/>
      <c r="D232" s="102" t="s">
        <v>15</v>
      </c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4"/>
      <c r="R232" s="281"/>
      <c r="S232" s="107"/>
    </row>
    <row r="233" spans="1:20" ht="16.5" hidden="1" customHeight="1" outlineLevel="1" thickBot="1" x14ac:dyDescent="0.3">
      <c r="A233" s="273" t="s">
        <v>51</v>
      </c>
      <c r="B233" s="276" t="s">
        <v>30</v>
      </c>
      <c r="C233" s="282" t="s">
        <v>71</v>
      </c>
      <c r="D233" s="77" t="s">
        <v>14</v>
      </c>
      <c r="E233" s="78">
        <v>54768.9</v>
      </c>
      <c r="F233" s="78"/>
      <c r="G233" s="79"/>
      <c r="H233" s="80"/>
      <c r="I233" s="80"/>
      <c r="J233" s="80"/>
      <c r="K233" s="80"/>
      <c r="L233" s="80"/>
      <c r="M233" s="80"/>
      <c r="N233" s="80"/>
      <c r="O233" s="80"/>
      <c r="P233" s="80"/>
      <c r="Q233" s="90">
        <f>+SUM(E233:P233)</f>
        <v>54768.9</v>
      </c>
      <c r="R233" s="285">
        <v>0</v>
      </c>
      <c r="S233" s="114" t="e">
        <v>#REF!</v>
      </c>
    </row>
    <row r="234" spans="1:20" ht="15.75" hidden="1" customHeight="1" outlineLevel="1" x14ac:dyDescent="0.25">
      <c r="A234" s="274"/>
      <c r="B234" s="277"/>
      <c r="C234" s="283"/>
      <c r="D234" s="84" t="s">
        <v>32</v>
      </c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1">
        <f>SUM(E234:P234)</f>
        <v>0</v>
      </c>
      <c r="R234" s="286"/>
      <c r="S234" s="114" t="e">
        <v>#DIV/0!</v>
      </c>
    </row>
    <row r="235" spans="1:20" ht="15.75" hidden="1" customHeight="1" outlineLevel="1" x14ac:dyDescent="0.25">
      <c r="A235" s="274"/>
      <c r="B235" s="277"/>
      <c r="C235" s="283"/>
      <c r="D235" s="81" t="s">
        <v>1</v>
      </c>
      <c r="E235" s="95">
        <v>45000</v>
      </c>
      <c r="F235" s="88">
        <v>50000</v>
      </c>
      <c r="G235" s="88">
        <v>50000</v>
      </c>
      <c r="H235" s="88">
        <v>50000</v>
      </c>
      <c r="I235" s="88">
        <v>50000</v>
      </c>
      <c r="J235" s="88">
        <v>50000</v>
      </c>
      <c r="K235" s="88">
        <v>45000</v>
      </c>
      <c r="L235" s="88">
        <v>50000</v>
      </c>
      <c r="M235" s="88">
        <v>55000</v>
      </c>
      <c r="N235" s="88">
        <v>50000</v>
      </c>
      <c r="O235" s="88">
        <v>50000</v>
      </c>
      <c r="P235" s="88">
        <v>55000</v>
      </c>
      <c r="Q235" s="92">
        <f>SUM(E235:P235)</f>
        <v>600000</v>
      </c>
      <c r="R235" s="286"/>
      <c r="S235" s="113">
        <f>Q235/$Q$319</f>
        <v>3.7496484704558949E-2</v>
      </c>
    </row>
    <row r="236" spans="1:20" ht="16.5" hidden="1" customHeight="1" outlineLevel="1" thickBot="1" x14ac:dyDescent="0.3">
      <c r="A236" s="275"/>
      <c r="B236" s="278"/>
      <c r="C236" s="284"/>
      <c r="D236" s="102" t="s">
        <v>15</v>
      </c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4"/>
      <c r="R236" s="287"/>
      <c r="S236" s="107"/>
    </row>
    <row r="237" spans="1:20" ht="17.25" collapsed="1" thickTop="1" thickBot="1" x14ac:dyDescent="0.25">
      <c r="A237" s="303" t="s">
        <v>51</v>
      </c>
      <c r="B237" s="305" t="s">
        <v>0</v>
      </c>
      <c r="C237" s="303" t="s">
        <v>0</v>
      </c>
      <c r="D237" s="56" t="s">
        <v>14</v>
      </c>
      <c r="E237" s="37">
        <f>SUM(E233,E230,E227,E224,E221,E218,E215,E212,E209,E206,E203,E200,E197,E194,E191,E188,E185,E182,E179,E176,E173,E167,E164,E234,E170)</f>
        <v>296046.94</v>
      </c>
      <c r="F237" s="37">
        <f t="shared" ref="F237:Q237" si="66">SUM(F233,F230,F227,F224,F221,F218,F215,F212,F209,F206,F203,F200,F197,F194,F191,F188,F185,F182,F179,F176,F173,F167,F164,F234,F170)</f>
        <v>0</v>
      </c>
      <c r="G237" s="37">
        <f t="shared" si="66"/>
        <v>0</v>
      </c>
      <c r="H237" s="37">
        <f t="shared" si="66"/>
        <v>0</v>
      </c>
      <c r="I237" s="37">
        <f t="shared" si="66"/>
        <v>0</v>
      </c>
      <c r="J237" s="37">
        <f t="shared" si="66"/>
        <v>0</v>
      </c>
      <c r="K237" s="37">
        <f t="shared" si="66"/>
        <v>0</v>
      </c>
      <c r="L237" s="37">
        <f t="shared" si="66"/>
        <v>0</v>
      </c>
      <c r="M237" s="37">
        <f t="shared" si="66"/>
        <v>0</v>
      </c>
      <c r="N237" s="37">
        <f t="shared" si="66"/>
        <v>0</v>
      </c>
      <c r="O237" s="37">
        <f t="shared" si="66"/>
        <v>0</v>
      </c>
      <c r="P237" s="37">
        <f t="shared" si="66"/>
        <v>0</v>
      </c>
      <c r="Q237" s="37">
        <f t="shared" si="66"/>
        <v>296046.94</v>
      </c>
      <c r="R237" s="307">
        <f>Q237/Q238</f>
        <v>8.7252266430887127E-2</v>
      </c>
      <c r="S237" s="114" t="e">
        <v>#DIV/0!</v>
      </c>
      <c r="T237" s="139"/>
    </row>
    <row r="238" spans="1:20" ht="17.25" thickTop="1" thickBot="1" x14ac:dyDescent="0.3">
      <c r="A238" s="304"/>
      <c r="B238" s="306"/>
      <c r="C238" s="304"/>
      <c r="D238" s="64" t="s">
        <v>1</v>
      </c>
      <c r="E238" s="11">
        <f>SUM(E235,E231,E228,E225,E222,E219,E216,E213,E210,E207,E204,E201,E198,E195,E192,E189,E186,E183,E180,E177,E174,E171,E168,E165)</f>
        <v>273000</v>
      </c>
      <c r="F238" s="11">
        <f t="shared" ref="F238:Q238" si="67">SUM(F235,F231,F228,F225,F222,F219,F216,F213,F210,F207,F204,F201,F198,F195,F192,F189,F186,F183,F180,F177,F174,F171,F168,F165)</f>
        <v>298000</v>
      </c>
      <c r="G238" s="11">
        <f t="shared" si="67"/>
        <v>296000</v>
      </c>
      <c r="H238" s="11">
        <f t="shared" si="67"/>
        <v>287000</v>
      </c>
      <c r="I238" s="11">
        <f t="shared" si="67"/>
        <v>301500</v>
      </c>
      <c r="J238" s="11">
        <f t="shared" si="67"/>
        <v>255000</v>
      </c>
      <c r="K238" s="11">
        <f t="shared" si="67"/>
        <v>238000</v>
      </c>
      <c r="L238" s="11">
        <f t="shared" si="67"/>
        <v>272500</v>
      </c>
      <c r="M238" s="11">
        <f t="shared" si="67"/>
        <v>282500</v>
      </c>
      <c r="N238" s="11">
        <f t="shared" si="67"/>
        <v>291000</v>
      </c>
      <c r="O238" s="11">
        <f t="shared" si="67"/>
        <v>291000</v>
      </c>
      <c r="P238" s="11">
        <f t="shared" si="67"/>
        <v>307500</v>
      </c>
      <c r="Q238" s="11">
        <f t="shared" si="67"/>
        <v>3393000</v>
      </c>
      <c r="R238" s="307"/>
      <c r="S238" s="113">
        <f>Q238/$Q$319</f>
        <v>0.21204262100428084</v>
      </c>
    </row>
    <row r="239" spans="1:20" ht="17.25" thickTop="1" thickBot="1" x14ac:dyDescent="0.3">
      <c r="A239" s="304"/>
      <c r="B239" s="306"/>
      <c r="C239" s="304"/>
      <c r="D239" s="57" t="s">
        <v>2</v>
      </c>
      <c r="E239" s="8">
        <f t="shared" ref="E239:P239" si="68">E237/E238</f>
        <v>1.0844210256410256</v>
      </c>
      <c r="F239" s="8">
        <f t="shared" si="68"/>
        <v>0</v>
      </c>
      <c r="G239" s="8">
        <f t="shared" si="68"/>
        <v>0</v>
      </c>
      <c r="H239" s="8">
        <f t="shared" si="68"/>
        <v>0</v>
      </c>
      <c r="I239" s="8">
        <f t="shared" si="68"/>
        <v>0</v>
      </c>
      <c r="J239" s="8">
        <f t="shared" si="68"/>
        <v>0</v>
      </c>
      <c r="K239" s="8">
        <f t="shared" si="68"/>
        <v>0</v>
      </c>
      <c r="L239" s="8">
        <f t="shared" si="68"/>
        <v>0</v>
      </c>
      <c r="M239" s="8">
        <f t="shared" si="68"/>
        <v>0</v>
      </c>
      <c r="N239" s="8">
        <f t="shared" si="68"/>
        <v>0</v>
      </c>
      <c r="O239" s="8">
        <f t="shared" si="68"/>
        <v>0</v>
      </c>
      <c r="P239" s="145">
        <f t="shared" si="68"/>
        <v>0</v>
      </c>
      <c r="Q239" s="46">
        <f>Q237/Q238</f>
        <v>8.7252266430887127E-2</v>
      </c>
      <c r="R239" s="307"/>
      <c r="S239" s="107"/>
    </row>
    <row r="240" spans="1:20" ht="17.25" thickTop="1" thickBot="1" x14ac:dyDescent="0.3">
      <c r="A240" s="304"/>
      <c r="B240" s="306"/>
      <c r="C240" s="304"/>
      <c r="D240" s="68" t="s">
        <v>3</v>
      </c>
      <c r="E240" s="10">
        <f t="shared" ref="E240:P240" si="69">E237-E238</f>
        <v>23046.940000000002</v>
      </c>
      <c r="F240" s="10">
        <f t="shared" si="69"/>
        <v>-298000</v>
      </c>
      <c r="G240" s="10">
        <f t="shared" si="69"/>
        <v>-296000</v>
      </c>
      <c r="H240" s="10">
        <f t="shared" si="69"/>
        <v>-287000</v>
      </c>
      <c r="I240" s="10">
        <f t="shared" si="69"/>
        <v>-301500</v>
      </c>
      <c r="J240" s="10">
        <f t="shared" si="69"/>
        <v>-255000</v>
      </c>
      <c r="K240" s="10">
        <f t="shared" si="69"/>
        <v>-238000</v>
      </c>
      <c r="L240" s="10">
        <f t="shared" si="69"/>
        <v>-272500</v>
      </c>
      <c r="M240" s="10">
        <f t="shared" si="69"/>
        <v>-282500</v>
      </c>
      <c r="N240" s="10">
        <f t="shared" si="69"/>
        <v>-291000</v>
      </c>
      <c r="O240" s="10">
        <f t="shared" si="69"/>
        <v>-291000</v>
      </c>
      <c r="P240" s="10">
        <f t="shared" si="69"/>
        <v>-307500</v>
      </c>
      <c r="Q240" s="49">
        <f>Q237-Q238</f>
        <v>-3096953.06</v>
      </c>
      <c r="R240" s="307"/>
      <c r="S240" s="108"/>
    </row>
    <row r="241" spans="1:19" ht="16.5" thickBot="1" x14ac:dyDescent="0.3">
      <c r="A241" s="304"/>
      <c r="B241" s="306"/>
      <c r="C241" s="304"/>
      <c r="D241" s="66" t="s">
        <v>4</v>
      </c>
      <c r="E241" s="9">
        <f t="shared" ref="E241:P241" si="70">E240/E237</f>
        <v>7.7848938414968927E-2</v>
      </c>
      <c r="F241" s="9" t="e">
        <f t="shared" si="70"/>
        <v>#DIV/0!</v>
      </c>
      <c r="G241" s="9" t="e">
        <f t="shared" si="70"/>
        <v>#DIV/0!</v>
      </c>
      <c r="H241" s="9" t="e">
        <f t="shared" si="70"/>
        <v>#DIV/0!</v>
      </c>
      <c r="I241" s="9" t="e">
        <f t="shared" si="70"/>
        <v>#DIV/0!</v>
      </c>
      <c r="J241" s="9" t="e">
        <f t="shared" si="70"/>
        <v>#DIV/0!</v>
      </c>
      <c r="K241" s="9" t="e">
        <f t="shared" si="70"/>
        <v>#DIV/0!</v>
      </c>
      <c r="L241" s="9" t="e">
        <f t="shared" si="70"/>
        <v>#DIV/0!</v>
      </c>
      <c r="M241" s="9" t="e">
        <f t="shared" si="70"/>
        <v>#DIV/0!</v>
      </c>
      <c r="N241" s="9" t="e">
        <f t="shared" si="70"/>
        <v>#DIV/0!</v>
      </c>
      <c r="O241" s="9" t="e">
        <f t="shared" si="70"/>
        <v>#DIV/0!</v>
      </c>
      <c r="P241" s="9" t="e">
        <f t="shared" si="70"/>
        <v>#DIV/0!</v>
      </c>
      <c r="Q241" s="48">
        <f>Q240/Q237</f>
        <v>-10.461020336842529</v>
      </c>
      <c r="R241" s="18"/>
      <c r="S241" s="109"/>
    </row>
    <row r="242" spans="1:19" ht="15.75" thickBot="1" x14ac:dyDescent="0.25">
      <c r="A242" s="6"/>
      <c r="B242" s="6"/>
      <c r="C242" s="75"/>
      <c r="D242" s="67" t="s">
        <v>33</v>
      </c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40"/>
      <c r="Q242" s="67"/>
      <c r="R242" s="36"/>
      <c r="S242" s="110"/>
    </row>
    <row r="243" spans="1:19" ht="15.75" hidden="1" outlineLevel="1" x14ac:dyDescent="0.25">
      <c r="A243" s="308" t="s">
        <v>72</v>
      </c>
      <c r="B243" s="276" t="s">
        <v>12</v>
      </c>
      <c r="C243" s="293" t="s">
        <v>74</v>
      </c>
      <c r="D243" s="77" t="s">
        <v>14</v>
      </c>
      <c r="E243" s="78">
        <v>57461</v>
      </c>
      <c r="F243" s="78"/>
      <c r="G243" s="79"/>
      <c r="H243" s="80"/>
      <c r="I243" s="80"/>
      <c r="J243" s="80"/>
      <c r="K243" s="80"/>
      <c r="L243" s="80"/>
      <c r="M243" s="80"/>
      <c r="N243" s="80"/>
      <c r="O243" s="80"/>
      <c r="P243" s="80"/>
      <c r="Q243" s="90">
        <f t="shared" ref="Q243:Q252" si="71">+SUM(E243:P243)</f>
        <v>57461</v>
      </c>
      <c r="R243" s="279">
        <f>Q243/Q244</f>
        <v>0.13520235294117647</v>
      </c>
      <c r="S243" s="114">
        <v>0</v>
      </c>
    </row>
    <row r="244" spans="1:19" ht="15.75" hidden="1" outlineLevel="1" x14ac:dyDescent="0.25">
      <c r="A244" s="309"/>
      <c r="B244" s="277"/>
      <c r="C244" s="294"/>
      <c r="D244" s="81" t="s">
        <v>1</v>
      </c>
      <c r="E244" s="88">
        <v>20000</v>
      </c>
      <c r="F244" s="88">
        <v>45000</v>
      </c>
      <c r="G244" s="88">
        <v>35000</v>
      </c>
      <c r="H244" s="88">
        <v>25000</v>
      </c>
      <c r="I244" s="88">
        <v>40000</v>
      </c>
      <c r="J244" s="88">
        <v>40000</v>
      </c>
      <c r="K244" s="88">
        <v>30000</v>
      </c>
      <c r="L244" s="88">
        <v>30000</v>
      </c>
      <c r="M244" s="88">
        <v>45000</v>
      </c>
      <c r="N244" s="88">
        <v>35000</v>
      </c>
      <c r="O244" s="88">
        <v>45000</v>
      </c>
      <c r="P244" s="88">
        <v>35000</v>
      </c>
      <c r="Q244" s="155">
        <f t="shared" ref="Q244:Q253" si="72">SUM(E244:P244)</f>
        <v>425000</v>
      </c>
      <c r="R244" s="280"/>
      <c r="S244" s="113">
        <f>Q244/$Q$319</f>
        <v>2.6560009999062589E-2</v>
      </c>
    </row>
    <row r="245" spans="1:19" ht="16.5" hidden="1" outlineLevel="1" thickBot="1" x14ac:dyDescent="0.3">
      <c r="A245" s="310"/>
      <c r="B245" s="278"/>
      <c r="C245" s="295"/>
      <c r="D245" s="102" t="s">
        <v>15</v>
      </c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4"/>
      <c r="R245" s="281"/>
      <c r="S245" s="107"/>
    </row>
    <row r="246" spans="1:19" ht="15.75" hidden="1" outlineLevel="1" x14ac:dyDescent="0.25">
      <c r="A246" s="308" t="s">
        <v>72</v>
      </c>
      <c r="B246" s="276" t="s">
        <v>12</v>
      </c>
      <c r="C246" s="293" t="s">
        <v>75</v>
      </c>
      <c r="D246" s="77" t="s">
        <v>14</v>
      </c>
      <c r="E246" s="132">
        <v>118686.77</v>
      </c>
      <c r="F246" s="78"/>
      <c r="G246" s="79"/>
      <c r="H246" s="80"/>
      <c r="I246" s="80"/>
      <c r="J246" s="80"/>
      <c r="K246" s="80"/>
      <c r="L246" s="80"/>
      <c r="M246" s="80"/>
      <c r="N246" s="80"/>
      <c r="O246" s="80"/>
      <c r="P246" s="80"/>
      <c r="Q246" s="90">
        <f t="shared" si="71"/>
        <v>118686.77</v>
      </c>
      <c r="R246" s="279">
        <f>Q246/Q247</f>
        <v>7.9124513333333341E-2</v>
      </c>
      <c r="S246" s="114">
        <v>0</v>
      </c>
    </row>
    <row r="247" spans="1:19" ht="15.75" hidden="1" outlineLevel="1" x14ac:dyDescent="0.25">
      <c r="A247" s="309"/>
      <c r="B247" s="277"/>
      <c r="C247" s="294"/>
      <c r="D247" s="81" t="s">
        <v>1</v>
      </c>
      <c r="E247" s="88">
        <v>120000</v>
      </c>
      <c r="F247" s="88">
        <v>70000</v>
      </c>
      <c r="G247" s="88">
        <v>30000</v>
      </c>
      <c r="H247" s="88">
        <v>50000</v>
      </c>
      <c r="I247" s="88">
        <v>40000</v>
      </c>
      <c r="J247" s="88">
        <v>50000</v>
      </c>
      <c r="K247" s="88">
        <v>180000</v>
      </c>
      <c r="L247" s="88">
        <v>185000</v>
      </c>
      <c r="M247" s="88">
        <v>250000</v>
      </c>
      <c r="N247" s="88">
        <v>225000</v>
      </c>
      <c r="O247" s="88">
        <v>150000</v>
      </c>
      <c r="P247" s="88">
        <v>150000</v>
      </c>
      <c r="Q247" s="155">
        <f t="shared" si="72"/>
        <v>1500000</v>
      </c>
      <c r="R247" s="280"/>
      <c r="S247" s="113">
        <f>Q247/$Q$319</f>
        <v>9.3741211761397367E-2</v>
      </c>
    </row>
    <row r="248" spans="1:19" ht="16.5" hidden="1" outlineLevel="1" thickBot="1" x14ac:dyDescent="0.3">
      <c r="A248" s="310"/>
      <c r="B248" s="278"/>
      <c r="C248" s="295"/>
      <c r="D248" s="102" t="s">
        <v>15</v>
      </c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4"/>
      <c r="R248" s="281"/>
      <c r="S248" s="107"/>
    </row>
    <row r="249" spans="1:19" ht="15.75" hidden="1" outlineLevel="1" x14ac:dyDescent="0.25">
      <c r="A249" s="308" t="s">
        <v>72</v>
      </c>
      <c r="B249" s="276" t="s">
        <v>12</v>
      </c>
      <c r="C249" s="293" t="s">
        <v>95</v>
      </c>
      <c r="D249" s="77" t="s">
        <v>14</v>
      </c>
      <c r="E249" s="78">
        <v>6988</v>
      </c>
      <c r="F249" s="78"/>
      <c r="G249" s="79"/>
      <c r="H249" s="80"/>
      <c r="I249" s="80"/>
      <c r="J249" s="80"/>
      <c r="K249" s="80"/>
      <c r="L249" s="80"/>
      <c r="M249" s="80"/>
      <c r="N249" s="80"/>
      <c r="O249" s="80"/>
      <c r="P249" s="80"/>
      <c r="Q249" s="90">
        <f t="shared" si="71"/>
        <v>6988</v>
      </c>
      <c r="R249" s="279">
        <f>Q249/Q250</f>
        <v>2.3293333333333333E-2</v>
      </c>
      <c r="S249" s="114">
        <v>0</v>
      </c>
    </row>
    <row r="250" spans="1:19" ht="15.75" hidden="1" outlineLevel="1" x14ac:dyDescent="0.25">
      <c r="A250" s="309"/>
      <c r="B250" s="277"/>
      <c r="C250" s="294"/>
      <c r="D250" s="81" t="s">
        <v>1</v>
      </c>
      <c r="E250" s="101">
        <v>25000</v>
      </c>
      <c r="F250" s="101">
        <v>25000</v>
      </c>
      <c r="G250" s="101">
        <v>25000</v>
      </c>
      <c r="H250" s="101">
        <v>25000</v>
      </c>
      <c r="I250" s="101">
        <v>25000</v>
      </c>
      <c r="J250" s="101">
        <v>25000</v>
      </c>
      <c r="K250" s="101">
        <v>25000</v>
      </c>
      <c r="L250" s="101">
        <v>25000</v>
      </c>
      <c r="M250" s="101">
        <v>25000</v>
      </c>
      <c r="N250" s="101">
        <v>25000</v>
      </c>
      <c r="O250" s="101">
        <v>25000</v>
      </c>
      <c r="P250" s="101">
        <v>25000</v>
      </c>
      <c r="Q250" s="155">
        <f t="shared" si="72"/>
        <v>300000</v>
      </c>
      <c r="R250" s="280"/>
      <c r="S250" s="113">
        <f>Q250/$Q$319</f>
        <v>1.8748242352279475E-2</v>
      </c>
    </row>
    <row r="251" spans="1:19" ht="16.5" hidden="1" outlineLevel="1" thickBot="1" x14ac:dyDescent="0.3">
      <c r="A251" s="310"/>
      <c r="B251" s="278"/>
      <c r="C251" s="295"/>
      <c r="D251" s="102" t="s">
        <v>15</v>
      </c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4"/>
      <c r="R251" s="281"/>
      <c r="S251" s="107"/>
    </row>
    <row r="252" spans="1:19" ht="15.75" hidden="1" outlineLevel="1" x14ac:dyDescent="0.25">
      <c r="A252" s="308" t="s">
        <v>72</v>
      </c>
      <c r="B252" s="276" t="s">
        <v>12</v>
      </c>
      <c r="C252" s="293" t="s">
        <v>96</v>
      </c>
      <c r="D252" s="77" t="s">
        <v>14</v>
      </c>
      <c r="E252" s="78"/>
      <c r="F252" s="78"/>
      <c r="G252" s="79"/>
      <c r="H252" s="80"/>
      <c r="I252" s="80"/>
      <c r="J252" s="80"/>
      <c r="K252" s="80"/>
      <c r="L252" s="80"/>
      <c r="M252" s="80"/>
      <c r="N252" s="80"/>
      <c r="O252" s="80"/>
      <c r="P252" s="80"/>
      <c r="Q252" s="90">
        <f t="shared" si="71"/>
        <v>0</v>
      </c>
      <c r="R252" s="279">
        <f>Q252/Q253</f>
        <v>0</v>
      </c>
      <c r="S252" s="114">
        <v>0</v>
      </c>
    </row>
    <row r="253" spans="1:19" ht="15.75" hidden="1" outlineLevel="1" x14ac:dyDescent="0.25">
      <c r="A253" s="309"/>
      <c r="B253" s="277"/>
      <c r="C253" s="294"/>
      <c r="D253" s="81" t="s">
        <v>1</v>
      </c>
      <c r="E253" s="88">
        <v>25000</v>
      </c>
      <c r="F253" s="88">
        <v>25000</v>
      </c>
      <c r="G253" s="88">
        <v>5000</v>
      </c>
      <c r="H253" s="88">
        <v>10000</v>
      </c>
      <c r="I253" s="88">
        <v>10000</v>
      </c>
      <c r="J253" s="88">
        <v>10000</v>
      </c>
      <c r="K253" s="88">
        <v>11000</v>
      </c>
      <c r="L253" s="88">
        <v>12000</v>
      </c>
      <c r="M253" s="88">
        <v>12000</v>
      </c>
      <c r="N253" s="88">
        <v>10000</v>
      </c>
      <c r="O253" s="88">
        <v>8000</v>
      </c>
      <c r="P253" s="88">
        <v>12000</v>
      </c>
      <c r="Q253" s="155">
        <f t="shared" si="72"/>
        <v>150000</v>
      </c>
      <c r="R253" s="280"/>
      <c r="S253" s="113">
        <f>Q253/$Q$319</f>
        <v>9.3741211761397374E-3</v>
      </c>
    </row>
    <row r="254" spans="1:19" ht="16.5" hidden="1" outlineLevel="1" thickBot="1" x14ac:dyDescent="0.3">
      <c r="A254" s="310"/>
      <c r="B254" s="278"/>
      <c r="C254" s="295"/>
      <c r="D254" s="102" t="s">
        <v>15</v>
      </c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4"/>
      <c r="R254" s="281"/>
      <c r="S254" s="107"/>
    </row>
    <row r="255" spans="1:19" ht="15.75" hidden="1" outlineLevel="1" x14ac:dyDescent="0.25">
      <c r="A255" s="276" t="s">
        <v>72</v>
      </c>
      <c r="B255" s="276" t="s">
        <v>50</v>
      </c>
      <c r="C255" s="282" t="s">
        <v>78</v>
      </c>
      <c r="D255" s="77" t="s">
        <v>14</v>
      </c>
      <c r="E255" s="78">
        <v>-5794</v>
      </c>
      <c r="F255" s="78"/>
      <c r="G255" s="78"/>
      <c r="H255" s="78"/>
      <c r="I255" s="78"/>
      <c r="J255" s="78"/>
      <c r="K255" s="78"/>
      <c r="L255" s="78"/>
      <c r="M255" s="78"/>
      <c r="N255" s="93"/>
      <c r="O255" s="78"/>
      <c r="P255" s="78"/>
      <c r="Q255" s="90">
        <f>+SUM(E255:P255)</f>
        <v>-5794</v>
      </c>
      <c r="R255" s="330" t="e">
        <f>Q255/Q256</f>
        <v>#DIV/0!</v>
      </c>
      <c r="S255" s="114">
        <v>0</v>
      </c>
    </row>
    <row r="256" spans="1:19" ht="18" hidden="1" customHeight="1" outlineLevel="1" x14ac:dyDescent="0.25">
      <c r="A256" s="277"/>
      <c r="B256" s="277"/>
      <c r="C256" s="283"/>
      <c r="D256" s="84" t="s">
        <v>32</v>
      </c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91">
        <f>SUM(E256:P256)</f>
        <v>0</v>
      </c>
      <c r="R256" s="331"/>
      <c r="S256" s="113">
        <f>Q256/$Q$319</f>
        <v>0</v>
      </c>
    </row>
    <row r="257" spans="1:20" ht="15.75" hidden="1" outlineLevel="1" x14ac:dyDescent="0.25">
      <c r="A257" s="277"/>
      <c r="B257" s="277"/>
      <c r="C257" s="283"/>
      <c r="D257" s="81" t="s">
        <v>1</v>
      </c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92">
        <f>SUM(E257:P257)</f>
        <v>0</v>
      </c>
      <c r="R257" s="331"/>
      <c r="S257" s="312"/>
    </row>
    <row r="258" spans="1:20" ht="16.5" hidden="1" outlineLevel="1" thickBot="1" x14ac:dyDescent="0.3">
      <c r="A258" s="278"/>
      <c r="B258" s="278"/>
      <c r="C258" s="284"/>
      <c r="D258" s="102" t="s">
        <v>15</v>
      </c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4"/>
      <c r="R258" s="332"/>
      <c r="S258" s="313"/>
    </row>
    <row r="259" spans="1:20" ht="16.5" collapsed="1" thickBot="1" x14ac:dyDescent="0.25">
      <c r="A259" s="303" t="s">
        <v>72</v>
      </c>
      <c r="B259" s="305" t="s">
        <v>0</v>
      </c>
      <c r="C259" s="303" t="s">
        <v>0</v>
      </c>
      <c r="D259" s="56" t="s">
        <v>14</v>
      </c>
      <c r="E259" s="89">
        <f>E255+E252+E249+E246+E243+E125+E256</f>
        <v>180699.27000000002</v>
      </c>
      <c r="F259" s="89">
        <f t="shared" ref="F259:Q259" si="73">F255+F252+F249+F246+F243+F125+F256</f>
        <v>0</v>
      </c>
      <c r="G259" s="89">
        <f t="shared" si="73"/>
        <v>0</v>
      </c>
      <c r="H259" s="89">
        <f t="shared" si="73"/>
        <v>0</v>
      </c>
      <c r="I259" s="89">
        <f t="shared" si="73"/>
        <v>0</v>
      </c>
      <c r="J259" s="89">
        <f t="shared" si="73"/>
        <v>0</v>
      </c>
      <c r="K259" s="89">
        <f t="shared" si="73"/>
        <v>0</v>
      </c>
      <c r="L259" s="89">
        <f t="shared" si="73"/>
        <v>0</v>
      </c>
      <c r="M259" s="89">
        <f t="shared" si="73"/>
        <v>0</v>
      </c>
      <c r="N259" s="89">
        <f t="shared" si="73"/>
        <v>0</v>
      </c>
      <c r="O259" s="89">
        <f t="shared" si="73"/>
        <v>0</v>
      </c>
      <c r="P259" s="89">
        <f t="shared" si="73"/>
        <v>0</v>
      </c>
      <c r="Q259" s="89">
        <f t="shared" si="73"/>
        <v>180699.27000000002</v>
      </c>
      <c r="R259" s="314">
        <f>Q259/Q260</f>
        <v>7.6083903157894747E-2</v>
      </c>
      <c r="S259" s="115" t="e">
        <v>#DIV/0!</v>
      </c>
      <c r="T259" s="139"/>
    </row>
    <row r="260" spans="1:20" ht="17.25" thickTop="1" thickBot="1" x14ac:dyDescent="0.3">
      <c r="A260" s="304"/>
      <c r="B260" s="306"/>
      <c r="C260" s="304"/>
      <c r="D260" s="64" t="s">
        <v>1</v>
      </c>
      <c r="E260" s="7">
        <f>E257+E253+E250+E247+E244</f>
        <v>190000</v>
      </c>
      <c r="F260" s="7">
        <f t="shared" ref="F260:P260" si="74">F257+F253+F250+F247+F244</f>
        <v>165000</v>
      </c>
      <c r="G260" s="7">
        <f t="shared" si="74"/>
        <v>95000</v>
      </c>
      <c r="H260" s="7">
        <f t="shared" si="74"/>
        <v>110000</v>
      </c>
      <c r="I260" s="7">
        <f t="shared" si="74"/>
        <v>115000</v>
      </c>
      <c r="J260" s="7">
        <f t="shared" si="74"/>
        <v>125000</v>
      </c>
      <c r="K260" s="7">
        <f t="shared" si="74"/>
        <v>246000</v>
      </c>
      <c r="L260" s="7">
        <f t="shared" si="74"/>
        <v>252000</v>
      </c>
      <c r="M260" s="7">
        <f t="shared" si="74"/>
        <v>332000</v>
      </c>
      <c r="N260" s="7">
        <f t="shared" si="74"/>
        <v>295000</v>
      </c>
      <c r="O260" s="7">
        <f t="shared" si="74"/>
        <v>228000</v>
      </c>
      <c r="P260" s="7">
        <f t="shared" si="74"/>
        <v>222000</v>
      </c>
      <c r="Q260" s="7">
        <f>Q257+Q253+Q250+Q247+Q244</f>
        <v>2375000</v>
      </c>
      <c r="R260" s="307"/>
      <c r="S260" s="113">
        <f>Q260/$Q$319</f>
        <v>0.14842358528887917</v>
      </c>
    </row>
    <row r="261" spans="1:20" ht="17.25" thickTop="1" thickBot="1" x14ac:dyDescent="0.3">
      <c r="A261" s="304"/>
      <c r="B261" s="306"/>
      <c r="C261" s="304"/>
      <c r="D261" s="57" t="s">
        <v>2</v>
      </c>
      <c r="E261" s="8">
        <f>E259/E260</f>
        <v>0.95104878947368432</v>
      </c>
      <c r="F261" s="8">
        <f t="shared" ref="F261:P261" si="75">F259/F260</f>
        <v>0</v>
      </c>
      <c r="G261" s="8">
        <f t="shared" si="75"/>
        <v>0</v>
      </c>
      <c r="H261" s="8">
        <f t="shared" si="75"/>
        <v>0</v>
      </c>
      <c r="I261" s="8">
        <f t="shared" si="75"/>
        <v>0</v>
      </c>
      <c r="J261" s="8">
        <f t="shared" si="75"/>
        <v>0</v>
      </c>
      <c r="K261" s="8">
        <f t="shared" si="75"/>
        <v>0</v>
      </c>
      <c r="L261" s="8">
        <f t="shared" si="75"/>
        <v>0</v>
      </c>
      <c r="M261" s="8">
        <f t="shared" si="75"/>
        <v>0</v>
      </c>
      <c r="N261" s="8">
        <f t="shared" si="75"/>
        <v>0</v>
      </c>
      <c r="O261" s="8">
        <f t="shared" si="75"/>
        <v>0</v>
      </c>
      <c r="P261" s="8">
        <f t="shared" si="75"/>
        <v>0</v>
      </c>
      <c r="Q261" s="46">
        <f>Q259/Q260</f>
        <v>7.6083903157894747E-2</v>
      </c>
      <c r="R261" s="307"/>
      <c r="S261" s="107"/>
    </row>
    <row r="262" spans="1:20" ht="17.25" thickTop="1" thickBot="1" x14ac:dyDescent="0.3">
      <c r="A262" s="304"/>
      <c r="B262" s="306"/>
      <c r="C262" s="304"/>
      <c r="D262" s="65" t="s">
        <v>3</v>
      </c>
      <c r="E262" s="10">
        <f t="shared" ref="E262:P262" si="76">E259-E260</f>
        <v>-9300.7299999999814</v>
      </c>
      <c r="F262" s="10">
        <f t="shared" si="76"/>
        <v>-165000</v>
      </c>
      <c r="G262" s="10">
        <f t="shared" si="76"/>
        <v>-95000</v>
      </c>
      <c r="H262" s="10">
        <f t="shared" si="76"/>
        <v>-110000</v>
      </c>
      <c r="I262" s="10">
        <f t="shared" si="76"/>
        <v>-115000</v>
      </c>
      <c r="J262" s="10">
        <f t="shared" si="76"/>
        <v>-125000</v>
      </c>
      <c r="K262" s="10">
        <f t="shared" si="76"/>
        <v>-246000</v>
      </c>
      <c r="L262" s="10">
        <f t="shared" si="76"/>
        <v>-252000</v>
      </c>
      <c r="M262" s="10">
        <f t="shared" si="76"/>
        <v>-332000</v>
      </c>
      <c r="N262" s="10">
        <f t="shared" si="76"/>
        <v>-295000</v>
      </c>
      <c r="O262" s="10">
        <f t="shared" si="76"/>
        <v>-228000</v>
      </c>
      <c r="P262" s="10">
        <f t="shared" si="76"/>
        <v>-222000</v>
      </c>
      <c r="Q262" s="47">
        <f>Q259-Q260</f>
        <v>-2194300.73</v>
      </c>
      <c r="R262" s="307"/>
      <c r="S262" s="108"/>
    </row>
    <row r="263" spans="1:20" ht="16.5" thickBot="1" x14ac:dyDescent="0.3">
      <c r="A263" s="304"/>
      <c r="B263" s="306"/>
      <c r="C263" s="304"/>
      <c r="D263" s="66" t="s">
        <v>4</v>
      </c>
      <c r="E263" s="9">
        <f t="shared" ref="E263:P263" si="77">E262/E259</f>
        <v>-5.1470766871387914E-2</v>
      </c>
      <c r="F263" s="9" t="e">
        <f t="shared" si="77"/>
        <v>#DIV/0!</v>
      </c>
      <c r="G263" s="9" t="e">
        <f t="shared" si="77"/>
        <v>#DIV/0!</v>
      </c>
      <c r="H263" s="9" t="e">
        <f t="shared" si="77"/>
        <v>#DIV/0!</v>
      </c>
      <c r="I263" s="9" t="e">
        <f t="shared" si="77"/>
        <v>#DIV/0!</v>
      </c>
      <c r="J263" s="9" t="e">
        <f t="shared" si="77"/>
        <v>#DIV/0!</v>
      </c>
      <c r="K263" s="9" t="e">
        <f t="shared" si="77"/>
        <v>#DIV/0!</v>
      </c>
      <c r="L263" s="9" t="e">
        <f t="shared" si="77"/>
        <v>#DIV/0!</v>
      </c>
      <c r="M263" s="9" t="e">
        <f t="shared" si="77"/>
        <v>#DIV/0!</v>
      </c>
      <c r="N263" s="9" t="e">
        <f t="shared" si="77"/>
        <v>#DIV/0!</v>
      </c>
      <c r="O263" s="9" t="e">
        <f t="shared" si="77"/>
        <v>#DIV/0!</v>
      </c>
      <c r="P263" s="9" t="e">
        <f t="shared" si="77"/>
        <v>#DIV/0!</v>
      </c>
      <c r="Q263" s="48">
        <f>Q262/Q259</f>
        <v>-12.143384585892349</v>
      </c>
      <c r="R263" s="18"/>
      <c r="S263" s="109"/>
    </row>
    <row r="264" spans="1:20" ht="15.75" thickBot="1" x14ac:dyDescent="0.25">
      <c r="A264" s="6"/>
      <c r="B264" s="6"/>
      <c r="C264" s="75"/>
      <c r="D264" s="67" t="s">
        <v>33</v>
      </c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40"/>
      <c r="Q264" s="67"/>
      <c r="R264" s="36"/>
      <c r="S264" s="110"/>
    </row>
    <row r="265" spans="1:20" ht="15.75" hidden="1" customHeight="1" outlineLevel="1" x14ac:dyDescent="0.25">
      <c r="A265" s="273" t="s">
        <v>79</v>
      </c>
      <c r="B265" s="276" t="s">
        <v>12</v>
      </c>
      <c r="C265" s="288" t="s">
        <v>93</v>
      </c>
      <c r="D265" s="77" t="s">
        <v>14</v>
      </c>
      <c r="E265" s="78">
        <v>630.48</v>
      </c>
      <c r="F265" s="78"/>
      <c r="G265" s="79"/>
      <c r="H265" s="80"/>
      <c r="I265" s="80"/>
      <c r="J265" s="80"/>
      <c r="K265" s="80"/>
      <c r="L265" s="80"/>
      <c r="M265" s="80"/>
      <c r="N265" s="80"/>
      <c r="O265" s="80"/>
      <c r="P265" s="80"/>
      <c r="Q265" s="90">
        <f t="shared" ref="Q265" si="78">+SUM(E265:P265)</f>
        <v>630.48</v>
      </c>
      <c r="R265" s="279">
        <f>Q265/Q266</f>
        <v>1.1463272727272728E-2</v>
      </c>
      <c r="S265" s="114" t="e">
        <v>#DIV/0!</v>
      </c>
    </row>
    <row r="266" spans="1:20" ht="15.75" hidden="1" customHeight="1" outlineLevel="1" x14ac:dyDescent="0.25">
      <c r="A266" s="274"/>
      <c r="B266" s="277"/>
      <c r="C266" s="289"/>
      <c r="D266" s="81" t="s">
        <v>1</v>
      </c>
      <c r="E266" s="82">
        <v>10000</v>
      </c>
      <c r="F266" s="82">
        <v>10000</v>
      </c>
      <c r="G266" s="82">
        <v>5500</v>
      </c>
      <c r="H266" s="82">
        <v>5500</v>
      </c>
      <c r="I266" s="82">
        <v>3500</v>
      </c>
      <c r="J266" s="82">
        <v>2500</v>
      </c>
      <c r="K266" s="82">
        <v>1000</v>
      </c>
      <c r="L266" s="82">
        <v>1000</v>
      </c>
      <c r="M266" s="82">
        <v>1000</v>
      </c>
      <c r="N266" s="82">
        <v>3000</v>
      </c>
      <c r="O266" s="82">
        <v>2000</v>
      </c>
      <c r="P266" s="82">
        <v>10000</v>
      </c>
      <c r="Q266" s="155">
        <f t="shared" ref="Q266" si="79">SUM(E266:P266)</f>
        <v>55000</v>
      </c>
      <c r="R266" s="280"/>
      <c r="S266" s="113">
        <f>Q266/$Q$319</f>
        <v>3.4371777645845702E-3</v>
      </c>
    </row>
    <row r="267" spans="1:20" ht="16.5" hidden="1" customHeight="1" outlineLevel="1" thickBot="1" x14ac:dyDescent="0.3">
      <c r="A267" s="275"/>
      <c r="B267" s="278"/>
      <c r="C267" s="290"/>
      <c r="D267" s="102" t="s">
        <v>15</v>
      </c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4"/>
      <c r="R267" s="281"/>
      <c r="S267" s="107"/>
    </row>
    <row r="268" spans="1:20" ht="15.75" hidden="1" customHeight="1" outlineLevel="1" x14ac:dyDescent="0.25">
      <c r="A268" s="273" t="s">
        <v>79</v>
      </c>
      <c r="B268" s="276" t="s">
        <v>12</v>
      </c>
      <c r="C268" s="288" t="s">
        <v>80</v>
      </c>
      <c r="D268" s="77" t="s">
        <v>14</v>
      </c>
      <c r="E268" s="78">
        <v>2366.17</v>
      </c>
      <c r="F268" s="78"/>
      <c r="G268" s="79"/>
      <c r="H268" s="80"/>
      <c r="I268" s="80"/>
      <c r="J268" s="80"/>
      <c r="K268" s="80"/>
      <c r="L268" s="80"/>
      <c r="M268" s="127"/>
      <c r="N268" s="127"/>
      <c r="O268" s="127"/>
      <c r="P268" s="127"/>
      <c r="Q268" s="90">
        <f t="shared" ref="Q268:Q289" si="80">+SUM(E268:P268)</f>
        <v>2366.17</v>
      </c>
      <c r="R268" s="279">
        <f>Q268/Q269</f>
        <v>6.7604857142857147E-2</v>
      </c>
      <c r="S268" s="114" t="e">
        <v>#DIV/0!</v>
      </c>
    </row>
    <row r="269" spans="1:20" ht="15.75" hidden="1" customHeight="1" outlineLevel="1" x14ac:dyDescent="0.25">
      <c r="A269" s="274"/>
      <c r="B269" s="277"/>
      <c r="C269" s="289"/>
      <c r="D269" s="81" t="s">
        <v>1</v>
      </c>
      <c r="E269" s="82">
        <v>1500</v>
      </c>
      <c r="F269" s="82">
        <v>500</v>
      </c>
      <c r="G269" s="82">
        <v>500</v>
      </c>
      <c r="H269" s="82">
        <v>500</v>
      </c>
      <c r="I269" s="82">
        <v>500</v>
      </c>
      <c r="J269" s="82">
        <v>1000</v>
      </c>
      <c r="K269" s="82">
        <v>3000</v>
      </c>
      <c r="L269" s="82">
        <v>12000</v>
      </c>
      <c r="M269" s="82">
        <v>11500</v>
      </c>
      <c r="N269" s="82">
        <v>3000</v>
      </c>
      <c r="O269" s="82">
        <v>500</v>
      </c>
      <c r="P269" s="82">
        <v>500</v>
      </c>
      <c r="Q269" s="155">
        <f t="shared" ref="Q269:Q290" si="81">SUM(E269:P269)</f>
        <v>35000</v>
      </c>
      <c r="R269" s="280"/>
      <c r="S269" s="113">
        <f>Q269/$Q$319</f>
        <v>2.1872949410992721E-3</v>
      </c>
    </row>
    <row r="270" spans="1:20" ht="16.5" hidden="1" customHeight="1" outlineLevel="1" thickBot="1" x14ac:dyDescent="0.3">
      <c r="A270" s="275"/>
      <c r="B270" s="278"/>
      <c r="C270" s="290"/>
      <c r="D270" s="105" t="s">
        <v>15</v>
      </c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4"/>
      <c r="R270" s="281"/>
      <c r="S270" s="107"/>
    </row>
    <row r="271" spans="1:20" ht="15.75" hidden="1" customHeight="1" outlineLevel="1" x14ac:dyDescent="0.25">
      <c r="A271" s="273" t="s">
        <v>79</v>
      </c>
      <c r="B271" s="276" t="s">
        <v>12</v>
      </c>
      <c r="C271" s="300" t="s">
        <v>97</v>
      </c>
      <c r="D271" s="77" t="s">
        <v>14</v>
      </c>
      <c r="E271" s="78">
        <v>1493.5</v>
      </c>
      <c r="F271" s="78"/>
      <c r="G271" s="78"/>
      <c r="H271" s="78"/>
      <c r="I271" s="78"/>
      <c r="J271" s="78"/>
      <c r="K271" s="80"/>
      <c r="L271" s="80"/>
      <c r="M271" s="127"/>
      <c r="N271" s="80"/>
      <c r="O271" s="80"/>
      <c r="P271" s="80"/>
      <c r="Q271" s="90">
        <f t="shared" si="80"/>
        <v>1493.5</v>
      </c>
      <c r="R271" s="279">
        <f>Q271/Q272</f>
        <v>4.9783333333333337E-3</v>
      </c>
      <c r="S271" s="114" t="e">
        <v>#DIV/0!</v>
      </c>
    </row>
    <row r="272" spans="1:20" ht="15.75" hidden="1" customHeight="1" outlineLevel="1" x14ac:dyDescent="0.25">
      <c r="A272" s="274"/>
      <c r="B272" s="277"/>
      <c r="C272" s="301"/>
      <c r="D272" s="81" t="s">
        <v>1</v>
      </c>
      <c r="E272" s="82">
        <v>10000</v>
      </c>
      <c r="F272" s="82">
        <v>50000</v>
      </c>
      <c r="G272" s="82">
        <v>150000</v>
      </c>
      <c r="H272" s="82">
        <v>10000</v>
      </c>
      <c r="I272" s="82">
        <v>10000</v>
      </c>
      <c r="J272" s="82">
        <v>10000</v>
      </c>
      <c r="K272" s="82">
        <v>10000</v>
      </c>
      <c r="L272" s="82">
        <v>10000</v>
      </c>
      <c r="M272" s="82">
        <v>10000</v>
      </c>
      <c r="N272" s="82">
        <v>10000</v>
      </c>
      <c r="O272" s="82">
        <v>10000</v>
      </c>
      <c r="P272" s="82">
        <v>10000</v>
      </c>
      <c r="Q272" s="155">
        <f t="shared" si="81"/>
        <v>300000</v>
      </c>
      <c r="R272" s="280"/>
      <c r="S272" s="113">
        <f>Q272/$Q$319</f>
        <v>1.8748242352279475E-2</v>
      </c>
    </row>
    <row r="273" spans="1:19" ht="16.5" hidden="1" customHeight="1" outlineLevel="1" thickBot="1" x14ac:dyDescent="0.3">
      <c r="A273" s="275"/>
      <c r="B273" s="278"/>
      <c r="C273" s="302"/>
      <c r="D273" s="102" t="s">
        <v>15</v>
      </c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4"/>
      <c r="R273" s="281"/>
      <c r="S273" s="107"/>
    </row>
    <row r="274" spans="1:19" ht="15.75" hidden="1" customHeight="1" outlineLevel="1" x14ac:dyDescent="0.25">
      <c r="A274" s="273" t="s">
        <v>79</v>
      </c>
      <c r="B274" s="276" t="s">
        <v>12</v>
      </c>
      <c r="C274" s="300" t="s">
        <v>81</v>
      </c>
      <c r="D274" s="77" t="s">
        <v>14</v>
      </c>
      <c r="E274" s="78">
        <v>693</v>
      </c>
      <c r="F274" s="78"/>
      <c r="G274" s="78"/>
      <c r="H274" s="78"/>
      <c r="I274" s="78"/>
      <c r="J274" s="78"/>
      <c r="K274" s="80"/>
      <c r="L274" s="80"/>
      <c r="M274" s="80"/>
      <c r="N274" s="80"/>
      <c r="O274" s="80"/>
      <c r="P274" s="80"/>
      <c r="Q274" s="90">
        <f t="shared" si="80"/>
        <v>693</v>
      </c>
      <c r="R274" s="279">
        <f>Q274/Q275</f>
        <v>1.155E-2</v>
      </c>
      <c r="S274" s="114" t="e">
        <v>#DIV/0!</v>
      </c>
    </row>
    <row r="275" spans="1:19" ht="15.75" hidden="1" customHeight="1" outlineLevel="1" x14ac:dyDescent="0.25">
      <c r="A275" s="274"/>
      <c r="B275" s="277"/>
      <c r="C275" s="301"/>
      <c r="D275" s="81" t="s">
        <v>1</v>
      </c>
      <c r="E275" s="82">
        <v>5500</v>
      </c>
      <c r="F275" s="82">
        <v>5500</v>
      </c>
      <c r="G275" s="82">
        <v>5500</v>
      </c>
      <c r="H275" s="82">
        <v>5500</v>
      </c>
      <c r="I275" s="82">
        <v>3500</v>
      </c>
      <c r="J275" s="82">
        <v>4500</v>
      </c>
      <c r="K275" s="88">
        <v>2500</v>
      </c>
      <c r="L275" s="88">
        <v>5500</v>
      </c>
      <c r="M275" s="88">
        <v>5500</v>
      </c>
      <c r="N275" s="88">
        <v>5500</v>
      </c>
      <c r="O275" s="88">
        <v>5500</v>
      </c>
      <c r="P275" s="88">
        <v>5500</v>
      </c>
      <c r="Q275" s="155">
        <f t="shared" si="81"/>
        <v>60000</v>
      </c>
      <c r="R275" s="280"/>
      <c r="S275" s="113">
        <f>Q275/$Q$319</f>
        <v>3.7496484704558947E-3</v>
      </c>
    </row>
    <row r="276" spans="1:19" ht="16.5" hidden="1" customHeight="1" outlineLevel="1" thickBot="1" x14ac:dyDescent="0.3">
      <c r="A276" s="275"/>
      <c r="B276" s="278"/>
      <c r="C276" s="302"/>
      <c r="D276" s="102" t="s">
        <v>15</v>
      </c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4"/>
      <c r="R276" s="281"/>
      <c r="S276" s="107"/>
    </row>
    <row r="277" spans="1:19" ht="15.75" hidden="1" customHeight="1" outlineLevel="1" x14ac:dyDescent="0.25">
      <c r="A277" s="273" t="s">
        <v>79</v>
      </c>
      <c r="B277" s="276" t="s">
        <v>12</v>
      </c>
      <c r="C277" s="300" t="s">
        <v>82</v>
      </c>
      <c r="D277" s="77" t="s">
        <v>14</v>
      </c>
      <c r="E277" s="78">
        <v>6875</v>
      </c>
      <c r="F277" s="78"/>
      <c r="G277" s="78"/>
      <c r="H277" s="78"/>
      <c r="I277" s="78"/>
      <c r="J277" s="78"/>
      <c r="K277" s="80"/>
      <c r="L277" s="80"/>
      <c r="M277" s="80"/>
      <c r="N277" s="80"/>
      <c r="O277" s="80"/>
      <c r="P277" s="80"/>
      <c r="Q277" s="90">
        <f t="shared" si="80"/>
        <v>6875</v>
      </c>
      <c r="R277" s="279">
        <f>Q277/Q278</f>
        <v>0.13750000000000001</v>
      </c>
      <c r="S277" s="114" t="e">
        <v>#DIV/0!</v>
      </c>
    </row>
    <row r="278" spans="1:19" ht="15.75" hidden="1" customHeight="1" outlineLevel="1" x14ac:dyDescent="0.25">
      <c r="A278" s="274"/>
      <c r="B278" s="277"/>
      <c r="C278" s="301"/>
      <c r="D278" s="81" t="s">
        <v>1</v>
      </c>
      <c r="E278" s="82">
        <v>2500</v>
      </c>
      <c r="F278" s="82">
        <v>2500</v>
      </c>
      <c r="G278" s="82">
        <v>0</v>
      </c>
      <c r="H278" s="82">
        <v>2000</v>
      </c>
      <c r="I278" s="82">
        <v>5000</v>
      </c>
      <c r="J278" s="82">
        <v>5000</v>
      </c>
      <c r="K278" s="88">
        <v>10000</v>
      </c>
      <c r="L278" s="88">
        <v>4000</v>
      </c>
      <c r="M278" s="88">
        <v>4000</v>
      </c>
      <c r="N278" s="88">
        <v>5000</v>
      </c>
      <c r="O278" s="88">
        <v>5000</v>
      </c>
      <c r="P278" s="88">
        <v>5000</v>
      </c>
      <c r="Q278" s="155">
        <f t="shared" si="81"/>
        <v>50000</v>
      </c>
      <c r="R278" s="280"/>
      <c r="S278" s="113">
        <f>Q278/$Q$319</f>
        <v>3.1247070587132456E-3</v>
      </c>
    </row>
    <row r="279" spans="1:19" ht="16.5" hidden="1" customHeight="1" outlineLevel="1" thickBot="1" x14ac:dyDescent="0.3">
      <c r="A279" s="275"/>
      <c r="B279" s="278"/>
      <c r="C279" s="302"/>
      <c r="D279" s="102" t="s">
        <v>15</v>
      </c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4"/>
      <c r="R279" s="281"/>
      <c r="S279" s="107"/>
    </row>
    <row r="280" spans="1:19" ht="15.75" hidden="1" customHeight="1" outlineLevel="1" x14ac:dyDescent="0.25">
      <c r="A280" s="273" t="s">
        <v>79</v>
      </c>
      <c r="B280" s="276" t="s">
        <v>12</v>
      </c>
      <c r="C280" s="300" t="s">
        <v>83</v>
      </c>
      <c r="D280" s="77" t="s">
        <v>14</v>
      </c>
      <c r="E280" s="78">
        <v>14605.48</v>
      </c>
      <c r="F280" s="78"/>
      <c r="G280" s="78"/>
      <c r="H280" s="78"/>
      <c r="I280" s="78"/>
      <c r="J280" s="78"/>
      <c r="K280" s="80"/>
      <c r="L280" s="80"/>
      <c r="M280" s="80"/>
      <c r="N280" s="80"/>
      <c r="O280" s="80"/>
      <c r="P280" s="80"/>
      <c r="Q280" s="90">
        <f t="shared" si="80"/>
        <v>14605.48</v>
      </c>
      <c r="R280" s="279">
        <f>Q280/Q281</f>
        <v>6.4913244444444448E-2</v>
      </c>
      <c r="S280" s="114" t="e">
        <v>#DIV/0!</v>
      </c>
    </row>
    <row r="281" spans="1:19" ht="15.75" hidden="1" customHeight="1" outlineLevel="1" x14ac:dyDescent="0.25">
      <c r="A281" s="274"/>
      <c r="B281" s="277"/>
      <c r="C281" s="301"/>
      <c r="D281" s="81" t="s">
        <v>1</v>
      </c>
      <c r="E281" s="82">
        <v>25000</v>
      </c>
      <c r="F281" s="82">
        <v>20000</v>
      </c>
      <c r="G281" s="82">
        <v>25000</v>
      </c>
      <c r="H281" s="82">
        <v>10000</v>
      </c>
      <c r="I281" s="82">
        <v>15000</v>
      </c>
      <c r="J281" s="82">
        <v>20000</v>
      </c>
      <c r="K281" s="88">
        <v>15000</v>
      </c>
      <c r="L281" s="88">
        <v>20000</v>
      </c>
      <c r="M281" s="88">
        <v>20000</v>
      </c>
      <c r="N281" s="88">
        <v>20000</v>
      </c>
      <c r="O281" s="88">
        <v>15000</v>
      </c>
      <c r="P281" s="88">
        <v>20000</v>
      </c>
      <c r="Q281" s="155">
        <f t="shared" si="81"/>
        <v>225000</v>
      </c>
      <c r="R281" s="280"/>
      <c r="S281" s="113">
        <f>Q281/$Q$319</f>
        <v>1.4061181764209606E-2</v>
      </c>
    </row>
    <row r="282" spans="1:19" ht="16.5" hidden="1" customHeight="1" outlineLevel="1" thickBot="1" x14ac:dyDescent="0.3">
      <c r="A282" s="275"/>
      <c r="B282" s="278"/>
      <c r="C282" s="302"/>
      <c r="D282" s="105" t="s">
        <v>15</v>
      </c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4"/>
      <c r="R282" s="281"/>
      <c r="S282" s="107"/>
    </row>
    <row r="283" spans="1:19" ht="15.75" hidden="1" customHeight="1" outlineLevel="1" x14ac:dyDescent="0.25">
      <c r="A283" s="273" t="s">
        <v>79</v>
      </c>
      <c r="B283" s="276" t="s">
        <v>12</v>
      </c>
      <c r="C283" s="300" t="s">
        <v>84</v>
      </c>
      <c r="D283" s="77" t="s">
        <v>14</v>
      </c>
      <c r="E283" s="78">
        <v>4987.3999999999996</v>
      </c>
      <c r="F283" s="78"/>
      <c r="G283" s="78"/>
      <c r="H283" s="78"/>
      <c r="I283" s="78"/>
      <c r="J283" s="78"/>
      <c r="K283" s="80"/>
      <c r="L283" s="80"/>
      <c r="M283" s="80"/>
      <c r="N283" s="80"/>
      <c r="O283" s="80"/>
      <c r="P283" s="80"/>
      <c r="Q283" s="90">
        <f t="shared" si="80"/>
        <v>4987.3999999999996</v>
      </c>
      <c r="R283" s="279">
        <f>Q283/Q284</f>
        <v>7.0743262411347513E-2</v>
      </c>
      <c r="S283" s="114" t="e">
        <v>#DIV/0!</v>
      </c>
    </row>
    <row r="284" spans="1:19" ht="15.75" hidden="1" customHeight="1" outlineLevel="1" x14ac:dyDescent="0.25">
      <c r="A284" s="274"/>
      <c r="B284" s="277"/>
      <c r="C284" s="301"/>
      <c r="D284" s="81" t="s">
        <v>1</v>
      </c>
      <c r="E284" s="82">
        <v>10000</v>
      </c>
      <c r="F284" s="82">
        <v>10000</v>
      </c>
      <c r="G284" s="82">
        <v>10000</v>
      </c>
      <c r="H284" s="82">
        <v>5500</v>
      </c>
      <c r="I284" s="82">
        <v>5500</v>
      </c>
      <c r="J284" s="82">
        <v>5500</v>
      </c>
      <c r="K284" s="88">
        <v>3500</v>
      </c>
      <c r="L284" s="88">
        <v>3500</v>
      </c>
      <c r="M284" s="88">
        <v>3500</v>
      </c>
      <c r="N284" s="88">
        <v>5500</v>
      </c>
      <c r="O284" s="88">
        <v>2500</v>
      </c>
      <c r="P284" s="88">
        <v>5500</v>
      </c>
      <c r="Q284" s="155">
        <f t="shared" si="81"/>
        <v>70500</v>
      </c>
      <c r="R284" s="280"/>
      <c r="S284" s="113">
        <f>Q284/$Q$319</f>
        <v>4.4058369527856765E-3</v>
      </c>
    </row>
    <row r="285" spans="1:19" ht="16.5" hidden="1" customHeight="1" outlineLevel="1" thickBot="1" x14ac:dyDescent="0.3">
      <c r="A285" s="275"/>
      <c r="B285" s="278"/>
      <c r="C285" s="302"/>
      <c r="D285" s="102" t="s">
        <v>15</v>
      </c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4"/>
      <c r="R285" s="281"/>
      <c r="S285" s="107"/>
    </row>
    <row r="286" spans="1:19" ht="15.6" hidden="1" customHeight="1" outlineLevel="1" x14ac:dyDescent="0.25">
      <c r="A286" s="273" t="s">
        <v>79</v>
      </c>
      <c r="B286" s="276" t="s">
        <v>12</v>
      </c>
      <c r="C286" s="300" t="s">
        <v>98</v>
      </c>
      <c r="D286" s="77" t="s">
        <v>14</v>
      </c>
      <c r="E286" s="78">
        <v>251342.55</v>
      </c>
      <c r="F286" s="78"/>
      <c r="G286" s="78"/>
      <c r="H286" s="78"/>
      <c r="I286" s="78"/>
      <c r="J286" s="78"/>
      <c r="K286" s="80"/>
      <c r="L286" s="80"/>
      <c r="M286" s="80"/>
      <c r="N286" s="80"/>
      <c r="O286" s="80"/>
      <c r="P286" s="80"/>
      <c r="Q286" s="90">
        <f t="shared" si="80"/>
        <v>251342.55</v>
      </c>
      <c r="R286" s="279">
        <f>Q286/Q287</f>
        <v>0.94135786516853925</v>
      </c>
      <c r="S286" s="114" t="e">
        <v>#DIV/0!</v>
      </c>
    </row>
    <row r="287" spans="1:19" ht="15.75" hidden="1" customHeight="1" outlineLevel="1" x14ac:dyDescent="0.25">
      <c r="A287" s="274"/>
      <c r="B287" s="277"/>
      <c r="C287" s="301"/>
      <c r="D287" s="81" t="s">
        <v>1</v>
      </c>
      <c r="E287" s="82">
        <v>0</v>
      </c>
      <c r="F287" s="82">
        <v>257000</v>
      </c>
      <c r="G287" s="82"/>
      <c r="H287" s="82">
        <v>0</v>
      </c>
      <c r="I287" s="82">
        <v>0</v>
      </c>
      <c r="J287" s="82">
        <v>0</v>
      </c>
      <c r="K287" s="88">
        <v>2000</v>
      </c>
      <c r="L287" s="88">
        <v>1500</v>
      </c>
      <c r="M287" s="88">
        <v>0</v>
      </c>
      <c r="N287" s="88">
        <v>2500</v>
      </c>
      <c r="O287" s="88">
        <v>2500</v>
      </c>
      <c r="P287" s="88">
        <v>1500</v>
      </c>
      <c r="Q287" s="155">
        <f t="shared" si="81"/>
        <v>267000</v>
      </c>
      <c r="R287" s="280"/>
      <c r="S287" s="113">
        <f>Q287/$Q$319</f>
        <v>1.6685935693528733E-2</v>
      </c>
    </row>
    <row r="288" spans="1:19" ht="16.5" hidden="1" customHeight="1" outlineLevel="1" thickBot="1" x14ac:dyDescent="0.3">
      <c r="A288" s="275"/>
      <c r="B288" s="278"/>
      <c r="C288" s="302"/>
      <c r="D288" s="102" t="s">
        <v>15</v>
      </c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4"/>
      <c r="R288" s="281"/>
      <c r="S288" s="107"/>
    </row>
    <row r="289" spans="1:23" ht="15.6" hidden="1" customHeight="1" outlineLevel="1" x14ac:dyDescent="0.25">
      <c r="A289" s="273" t="s">
        <v>79</v>
      </c>
      <c r="B289" s="276" t="s">
        <v>12</v>
      </c>
      <c r="C289" s="300" t="s">
        <v>85</v>
      </c>
      <c r="D289" s="77" t="s">
        <v>14</v>
      </c>
      <c r="E289" s="78">
        <v>2603.0500000000002</v>
      </c>
      <c r="F289" s="78"/>
      <c r="G289" s="78"/>
      <c r="H289" s="78"/>
      <c r="I289" s="78"/>
      <c r="J289" s="78"/>
      <c r="K289" s="80"/>
      <c r="L289" s="80"/>
      <c r="M289" s="80"/>
      <c r="N289" s="80"/>
      <c r="O289" s="80"/>
      <c r="P289" s="80"/>
      <c r="Q289" s="90">
        <f t="shared" si="80"/>
        <v>2603.0500000000002</v>
      </c>
      <c r="R289" s="279">
        <f>Q289/Q290</f>
        <v>5.784555555555556E-2</v>
      </c>
      <c r="S289" s="114" t="e">
        <v>#DIV/0!</v>
      </c>
    </row>
    <row r="290" spans="1:23" ht="15.75" hidden="1" customHeight="1" outlineLevel="1" x14ac:dyDescent="0.25">
      <c r="A290" s="274"/>
      <c r="B290" s="277"/>
      <c r="C290" s="301"/>
      <c r="D290" s="81" t="s">
        <v>1</v>
      </c>
      <c r="E290" s="82">
        <v>2500</v>
      </c>
      <c r="F290" s="82">
        <v>2500</v>
      </c>
      <c r="G290" s="82">
        <v>3500</v>
      </c>
      <c r="H290" s="82">
        <v>5000</v>
      </c>
      <c r="I290" s="82">
        <v>4000</v>
      </c>
      <c r="J290" s="82">
        <v>4500</v>
      </c>
      <c r="K290" s="88">
        <v>3000</v>
      </c>
      <c r="L290" s="88">
        <v>3500</v>
      </c>
      <c r="M290" s="88">
        <v>3500</v>
      </c>
      <c r="N290" s="88">
        <v>4500</v>
      </c>
      <c r="O290" s="88">
        <v>3000</v>
      </c>
      <c r="P290" s="88">
        <v>5500</v>
      </c>
      <c r="Q290" s="155">
        <f t="shared" si="81"/>
        <v>45000</v>
      </c>
      <c r="R290" s="280"/>
      <c r="S290" s="113">
        <f>Q290/$Q$319</f>
        <v>2.8122363528419211E-3</v>
      </c>
    </row>
    <row r="291" spans="1:23" ht="16.5" hidden="1" customHeight="1" outlineLevel="1" thickBot="1" x14ac:dyDescent="0.3">
      <c r="A291" s="275"/>
      <c r="B291" s="278"/>
      <c r="C291" s="302"/>
      <c r="D291" s="102" t="s">
        <v>15</v>
      </c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4"/>
      <c r="R291" s="281"/>
      <c r="S291" s="107"/>
    </row>
    <row r="292" spans="1:23" ht="17.25" hidden="1" customHeight="1" outlineLevel="1" thickTop="1" thickBot="1" x14ac:dyDescent="0.3">
      <c r="A292" s="273" t="s">
        <v>79</v>
      </c>
      <c r="B292" s="276" t="s">
        <v>30</v>
      </c>
      <c r="C292" s="282" t="s">
        <v>86</v>
      </c>
      <c r="D292" s="77" t="s">
        <v>14</v>
      </c>
      <c r="E292" s="129">
        <v>30508.7</v>
      </c>
      <c r="F292" s="130"/>
      <c r="G292" s="131"/>
      <c r="H292" s="127"/>
      <c r="I292" s="127"/>
      <c r="J292" s="127"/>
      <c r="K292" s="80"/>
      <c r="L292" s="80"/>
      <c r="M292" s="80"/>
      <c r="N292" s="80"/>
      <c r="O292" s="80"/>
      <c r="P292" s="80"/>
      <c r="Q292" s="90">
        <f>+SUM(E292:P292)</f>
        <v>30508.7</v>
      </c>
      <c r="R292" s="328">
        <f>Q292/Q294</f>
        <v>5.4479821428571433E-2</v>
      </c>
      <c r="S292" s="114" t="e">
        <v>#DIV/0!</v>
      </c>
      <c r="W292" s="139"/>
    </row>
    <row r="293" spans="1:23" ht="17.25" hidden="1" customHeight="1" outlineLevel="1" thickTop="1" thickBot="1" x14ac:dyDescent="0.3">
      <c r="A293" s="274"/>
      <c r="B293" s="277"/>
      <c r="C293" s="283"/>
      <c r="D293" s="84" t="s">
        <v>32</v>
      </c>
      <c r="E293" s="129"/>
      <c r="F293" s="129"/>
      <c r="G293" s="129"/>
      <c r="H293" s="129"/>
      <c r="I293" s="129"/>
      <c r="J293" s="129"/>
      <c r="K293" s="93"/>
      <c r="L293" s="93"/>
      <c r="M293" s="93"/>
      <c r="N293" s="93"/>
      <c r="O293" s="93"/>
      <c r="P293" s="93"/>
      <c r="Q293" s="91">
        <f>SUM(E293:P293)</f>
        <v>0</v>
      </c>
      <c r="R293" s="328"/>
      <c r="S293" s="115" t="e">
        <v>#DIV/0!</v>
      </c>
    </row>
    <row r="294" spans="1:23" ht="17.25" hidden="1" customHeight="1" outlineLevel="1" thickTop="1" thickBot="1" x14ac:dyDescent="0.3">
      <c r="A294" s="274"/>
      <c r="B294" s="277"/>
      <c r="C294" s="283"/>
      <c r="D294" s="81" t="s">
        <v>1</v>
      </c>
      <c r="E294" s="82">
        <v>40000</v>
      </c>
      <c r="F294" s="82">
        <v>50000</v>
      </c>
      <c r="G294" s="82">
        <v>45000</v>
      </c>
      <c r="H294" s="82">
        <v>40000</v>
      </c>
      <c r="I294" s="82">
        <v>50000</v>
      </c>
      <c r="J294" s="82">
        <v>50000</v>
      </c>
      <c r="K294" s="88">
        <v>40000</v>
      </c>
      <c r="L294" s="88">
        <v>50000</v>
      </c>
      <c r="M294" s="88">
        <v>50000</v>
      </c>
      <c r="N294" s="88">
        <v>50000</v>
      </c>
      <c r="O294" s="88">
        <v>45000</v>
      </c>
      <c r="P294" s="88">
        <v>50000</v>
      </c>
      <c r="Q294" s="88">
        <f>SUM(E294:P294)</f>
        <v>560000</v>
      </c>
      <c r="R294" s="328"/>
      <c r="S294" s="113">
        <f>Q294/$Q$319</f>
        <v>3.4996719057588353E-2</v>
      </c>
      <c r="T294" s="139"/>
      <c r="V294" s="139"/>
    </row>
    <row r="295" spans="1:23" ht="17.25" hidden="1" customHeight="1" outlineLevel="1" thickTop="1" thickBot="1" x14ac:dyDescent="0.3">
      <c r="A295" s="275"/>
      <c r="B295" s="278"/>
      <c r="C295" s="284"/>
      <c r="D295" s="105" t="s">
        <v>15</v>
      </c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4"/>
      <c r="R295" s="328"/>
      <c r="S295" s="107"/>
      <c r="T295" s="139"/>
    </row>
    <row r="296" spans="1:23" ht="17.25" collapsed="1" thickTop="1" thickBot="1" x14ac:dyDescent="0.25">
      <c r="A296" s="303" t="s">
        <v>79</v>
      </c>
      <c r="B296" s="305" t="s">
        <v>0</v>
      </c>
      <c r="C296" s="303" t="s">
        <v>0</v>
      </c>
      <c r="D296" s="96" t="s">
        <v>14</v>
      </c>
      <c r="E296" s="97">
        <f>SUM(E292+E289+E283+E280+E277+E274+E271+E268+E265+E293+E286)</f>
        <v>316105.33</v>
      </c>
      <c r="F296" s="97">
        <f t="shared" ref="F296:P296" si="82">SUM(F292+F289+F283+F280+F277+F274+F271+F268+F265+F293+F286)</f>
        <v>0</v>
      </c>
      <c r="G296" s="97">
        <f t="shared" si="82"/>
        <v>0</v>
      </c>
      <c r="H296" s="97">
        <f t="shared" si="82"/>
        <v>0</v>
      </c>
      <c r="I296" s="97">
        <f t="shared" si="82"/>
        <v>0</v>
      </c>
      <c r="J296" s="97">
        <f t="shared" si="82"/>
        <v>0</v>
      </c>
      <c r="K296" s="97">
        <f t="shared" si="82"/>
        <v>0</v>
      </c>
      <c r="L296" s="97">
        <f t="shared" si="82"/>
        <v>0</v>
      </c>
      <c r="M296" s="97">
        <f t="shared" si="82"/>
        <v>0</v>
      </c>
      <c r="N296" s="97">
        <f t="shared" si="82"/>
        <v>0</v>
      </c>
      <c r="O296" s="97">
        <f t="shared" si="82"/>
        <v>0</v>
      </c>
      <c r="P296" s="97">
        <f t="shared" si="82"/>
        <v>0</v>
      </c>
      <c r="Q296" s="97">
        <f>SUM(Q292+Q289+Q283+Q286+Q280+Q277+Q274+Q271+Q268+Q265+Q293)</f>
        <v>316105.32999999996</v>
      </c>
      <c r="R296" s="307">
        <f>Q296/Q297</f>
        <v>0.18956841379310344</v>
      </c>
      <c r="S296" s="114" t="e">
        <v>#DIV/0!</v>
      </c>
      <c r="T296" s="139"/>
    </row>
    <row r="297" spans="1:23" ht="17.25" thickTop="1" thickBot="1" x14ac:dyDescent="0.3">
      <c r="A297" s="304"/>
      <c r="B297" s="306"/>
      <c r="C297" s="304"/>
      <c r="D297" s="69" t="s">
        <v>1</v>
      </c>
      <c r="E297" s="19">
        <f>SUM(E266,E269,E272,E275,E278,E281,E284,E287,E290,E294)</f>
        <v>107000</v>
      </c>
      <c r="F297" s="19">
        <f t="shared" ref="F297:P297" si="83">SUM(F266,F269,F272,F275,F278,F281,F284,F287,F290,F294)</f>
        <v>408000</v>
      </c>
      <c r="G297" s="19">
        <f t="shared" si="83"/>
        <v>245000</v>
      </c>
      <c r="H297" s="19">
        <f t="shared" si="83"/>
        <v>84000</v>
      </c>
      <c r="I297" s="19">
        <f t="shared" si="83"/>
        <v>97000</v>
      </c>
      <c r="J297" s="19">
        <f t="shared" si="83"/>
        <v>103000</v>
      </c>
      <c r="K297" s="19">
        <f t="shared" si="83"/>
        <v>90000</v>
      </c>
      <c r="L297" s="19">
        <f t="shared" si="83"/>
        <v>111000</v>
      </c>
      <c r="M297" s="19">
        <f t="shared" si="83"/>
        <v>109000</v>
      </c>
      <c r="N297" s="19">
        <f t="shared" si="83"/>
        <v>109000</v>
      </c>
      <c r="O297" s="19">
        <f t="shared" si="83"/>
        <v>91000</v>
      </c>
      <c r="P297" s="19">
        <f t="shared" si="83"/>
        <v>113500</v>
      </c>
      <c r="Q297" s="19">
        <f>SUM(Q266,Q269,Q272,Q275,Q278,Q281,Q284,Q287,Q290,Q294)</f>
        <v>1667500</v>
      </c>
      <c r="R297" s="307"/>
      <c r="S297" s="113">
        <f>Q297/$Q$319</f>
        <v>0.10420898040808674</v>
      </c>
    </row>
    <row r="298" spans="1:23" ht="17.25" thickTop="1" thickBot="1" x14ac:dyDescent="0.3">
      <c r="A298" s="304"/>
      <c r="B298" s="306"/>
      <c r="C298" s="304"/>
      <c r="D298" s="70" t="s">
        <v>2</v>
      </c>
      <c r="E298" s="8">
        <f t="shared" ref="E298:P298" si="84">E296/E297</f>
        <v>2.9542554205607479</v>
      </c>
      <c r="F298" s="8">
        <f t="shared" si="84"/>
        <v>0</v>
      </c>
      <c r="G298" s="8">
        <f t="shared" si="84"/>
        <v>0</v>
      </c>
      <c r="H298" s="8">
        <f t="shared" si="84"/>
        <v>0</v>
      </c>
      <c r="I298" s="8">
        <f t="shared" si="84"/>
        <v>0</v>
      </c>
      <c r="J298" s="8">
        <f t="shared" si="84"/>
        <v>0</v>
      </c>
      <c r="K298" s="8">
        <f t="shared" si="84"/>
        <v>0</v>
      </c>
      <c r="L298" s="8">
        <f t="shared" si="84"/>
        <v>0</v>
      </c>
      <c r="M298" s="8">
        <f t="shared" si="84"/>
        <v>0</v>
      </c>
      <c r="N298" s="8">
        <f t="shared" si="84"/>
        <v>0</v>
      </c>
      <c r="O298" s="8">
        <f t="shared" si="84"/>
        <v>0</v>
      </c>
      <c r="P298" s="8">
        <f t="shared" si="84"/>
        <v>0</v>
      </c>
      <c r="Q298" s="50">
        <f>Q296/Q297</f>
        <v>0.18956841379310344</v>
      </c>
      <c r="R298" s="307"/>
      <c r="S298" s="107"/>
    </row>
    <row r="299" spans="1:23" ht="17.25" thickTop="1" thickBot="1" x14ac:dyDescent="0.3">
      <c r="A299" s="304"/>
      <c r="B299" s="306"/>
      <c r="C299" s="304"/>
      <c r="D299" s="71" t="s">
        <v>3</v>
      </c>
      <c r="E299" s="10">
        <f>E296-E297</f>
        <v>209105.33000000002</v>
      </c>
      <c r="F299" s="10">
        <f t="shared" ref="F299:P299" si="85">F296-F297</f>
        <v>-408000</v>
      </c>
      <c r="G299" s="10">
        <f t="shared" si="85"/>
        <v>-245000</v>
      </c>
      <c r="H299" s="10">
        <f t="shared" si="85"/>
        <v>-84000</v>
      </c>
      <c r="I299" s="10">
        <f t="shared" si="85"/>
        <v>-97000</v>
      </c>
      <c r="J299" s="10">
        <f t="shared" si="85"/>
        <v>-103000</v>
      </c>
      <c r="K299" s="10">
        <f t="shared" si="85"/>
        <v>-90000</v>
      </c>
      <c r="L299" s="10">
        <f t="shared" si="85"/>
        <v>-111000</v>
      </c>
      <c r="M299" s="10">
        <f t="shared" si="85"/>
        <v>-109000</v>
      </c>
      <c r="N299" s="10">
        <f t="shared" si="85"/>
        <v>-109000</v>
      </c>
      <c r="O299" s="10">
        <f t="shared" si="85"/>
        <v>-91000</v>
      </c>
      <c r="P299" s="10">
        <f t="shared" si="85"/>
        <v>-113500</v>
      </c>
      <c r="Q299" s="51">
        <f>Q296-Q297</f>
        <v>-1351394.67</v>
      </c>
      <c r="R299" s="307"/>
      <c r="S299" s="108"/>
    </row>
    <row r="300" spans="1:23" ht="16.5" thickBot="1" x14ac:dyDescent="0.3">
      <c r="A300" s="304"/>
      <c r="B300" s="306"/>
      <c r="C300" s="304"/>
      <c r="D300" s="72" t="s">
        <v>4</v>
      </c>
      <c r="E300" s="52">
        <f>E299/E296</f>
        <v>0.661505233081644</v>
      </c>
      <c r="F300" s="9" t="e">
        <f t="shared" ref="F300:P300" si="86">F299/F296</f>
        <v>#DIV/0!</v>
      </c>
      <c r="G300" s="9" t="e">
        <f t="shared" si="86"/>
        <v>#DIV/0!</v>
      </c>
      <c r="H300" s="9" t="e">
        <f>H299/H296</f>
        <v>#DIV/0!</v>
      </c>
      <c r="I300" s="9" t="e">
        <f t="shared" si="86"/>
        <v>#DIV/0!</v>
      </c>
      <c r="J300" s="9" t="e">
        <f t="shared" si="86"/>
        <v>#DIV/0!</v>
      </c>
      <c r="K300" s="9" t="e">
        <f t="shared" si="86"/>
        <v>#DIV/0!</v>
      </c>
      <c r="L300" s="9" t="e">
        <f t="shared" si="86"/>
        <v>#DIV/0!</v>
      </c>
      <c r="M300" s="9" t="e">
        <f t="shared" si="86"/>
        <v>#DIV/0!</v>
      </c>
      <c r="N300" s="9" t="e">
        <f t="shared" si="86"/>
        <v>#DIV/0!</v>
      </c>
      <c r="O300" s="9" t="e">
        <f t="shared" si="86"/>
        <v>#DIV/0!</v>
      </c>
      <c r="P300" s="9" t="e">
        <f t="shared" si="86"/>
        <v>#DIV/0!</v>
      </c>
      <c r="Q300" s="52">
        <f>Q299/Q296</f>
        <v>-4.2751404096855943</v>
      </c>
      <c r="R300" s="22"/>
      <c r="S300" s="111"/>
    </row>
    <row r="301" spans="1:23" ht="15.75" thickBot="1" x14ac:dyDescent="0.25">
      <c r="A301" s="6"/>
      <c r="B301" s="6"/>
      <c r="C301" s="75"/>
      <c r="D301" s="99" t="s">
        <v>33</v>
      </c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100"/>
      <c r="Q301" s="99"/>
      <c r="R301" s="98"/>
      <c r="S301" s="110"/>
    </row>
    <row r="302" spans="1:23" ht="15.75" hidden="1" customHeight="1" outlineLevel="1" x14ac:dyDescent="0.25">
      <c r="A302" s="273" t="s">
        <v>87</v>
      </c>
      <c r="B302" s="276" t="s">
        <v>30</v>
      </c>
      <c r="C302" s="300" t="s">
        <v>87</v>
      </c>
      <c r="D302" s="77" t="s">
        <v>14</v>
      </c>
      <c r="E302" s="78">
        <v>6703.46</v>
      </c>
      <c r="F302" s="78"/>
      <c r="G302" s="79"/>
      <c r="H302" s="80"/>
      <c r="I302" s="80"/>
      <c r="J302" s="80"/>
      <c r="K302" s="80"/>
      <c r="L302" s="80"/>
      <c r="M302" s="80"/>
      <c r="N302" s="80"/>
      <c r="O302" s="80"/>
      <c r="P302" s="80"/>
      <c r="Q302" s="90">
        <f t="shared" ref="Q302" si="87">+SUM(E302:P302)</f>
        <v>6703.46</v>
      </c>
      <c r="R302" s="279">
        <f>Q302/Q303</f>
        <v>5.8545502183406116E-2</v>
      </c>
      <c r="S302" s="114" t="e">
        <v>#DIV/0!</v>
      </c>
    </row>
    <row r="303" spans="1:23" ht="15.75" hidden="1" customHeight="1" outlineLevel="1" x14ac:dyDescent="0.25">
      <c r="A303" s="274"/>
      <c r="B303" s="277"/>
      <c r="C303" s="301"/>
      <c r="D303" s="81" t="s">
        <v>1</v>
      </c>
      <c r="E303" s="101">
        <v>8000</v>
      </c>
      <c r="F303" s="101">
        <v>8000</v>
      </c>
      <c r="G303" s="101">
        <v>8000</v>
      </c>
      <c r="H303" s="101">
        <v>10500</v>
      </c>
      <c r="I303" s="101">
        <v>10000</v>
      </c>
      <c r="J303" s="101">
        <v>12000</v>
      </c>
      <c r="K303" s="101">
        <v>9000</v>
      </c>
      <c r="L303" s="101">
        <v>8500</v>
      </c>
      <c r="M303" s="101">
        <v>10000</v>
      </c>
      <c r="N303" s="101">
        <v>10000</v>
      </c>
      <c r="O303" s="101">
        <v>8500</v>
      </c>
      <c r="P303" s="101">
        <v>12000</v>
      </c>
      <c r="Q303" s="155">
        <f t="shared" ref="Q303" si="88">SUM(E303:P303)</f>
        <v>114500</v>
      </c>
      <c r="R303" s="280"/>
      <c r="S303" s="113">
        <v>8.9600127449099374E-3</v>
      </c>
    </row>
    <row r="304" spans="1:23" ht="16.5" hidden="1" customHeight="1" outlineLevel="1" thickBot="1" x14ac:dyDescent="0.3">
      <c r="A304" s="275"/>
      <c r="B304" s="278"/>
      <c r="C304" s="302"/>
      <c r="D304" s="102" t="s">
        <v>15</v>
      </c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4"/>
      <c r="R304" s="281"/>
      <c r="S304" s="107"/>
    </row>
    <row r="305" spans="1:19" ht="15.75" hidden="1" customHeight="1" outlineLevel="1" x14ac:dyDescent="0.25">
      <c r="A305" s="276" t="s">
        <v>88</v>
      </c>
      <c r="B305" s="325" t="s">
        <v>89</v>
      </c>
      <c r="C305" s="282" t="s">
        <v>89</v>
      </c>
      <c r="D305" s="77" t="s">
        <v>14</v>
      </c>
      <c r="E305" s="78"/>
      <c r="F305" s="78"/>
      <c r="G305" s="79"/>
      <c r="H305" s="80"/>
      <c r="I305" s="134"/>
      <c r="J305" s="80"/>
      <c r="K305" s="80"/>
      <c r="L305" s="80"/>
      <c r="M305" s="80"/>
      <c r="N305" s="80"/>
      <c r="O305" s="80"/>
      <c r="P305" s="80"/>
      <c r="Q305" s="90">
        <f t="shared" ref="Q305" si="89">+SUM(E305:P305)</f>
        <v>0</v>
      </c>
      <c r="R305" s="279">
        <f>Q305/Q306</f>
        <v>0</v>
      </c>
      <c r="S305" s="114" t="e">
        <v>#DIV/0!</v>
      </c>
    </row>
    <row r="306" spans="1:19" ht="15.75" hidden="1" customHeight="1" outlineLevel="1" x14ac:dyDescent="0.25">
      <c r="A306" s="277"/>
      <c r="B306" s="326"/>
      <c r="C306" s="283"/>
      <c r="D306" s="81" t="s">
        <v>1</v>
      </c>
      <c r="E306" s="101"/>
      <c r="F306" s="101"/>
      <c r="G306" s="101"/>
      <c r="H306" s="101"/>
      <c r="I306" s="101"/>
      <c r="J306" s="101"/>
      <c r="K306" s="101"/>
      <c r="L306" s="101"/>
      <c r="M306" s="101">
        <v>5000</v>
      </c>
      <c r="N306" s="101">
        <v>5000</v>
      </c>
      <c r="O306" s="101">
        <v>5000</v>
      </c>
      <c r="P306" s="101">
        <v>5000</v>
      </c>
      <c r="Q306" s="155">
        <f t="shared" ref="Q306" si="90">SUM(E306:P306)</f>
        <v>20000</v>
      </c>
      <c r="R306" s="280"/>
      <c r="S306" s="113">
        <f>Q306/$Q$319</f>
        <v>1.2498828234852983E-3</v>
      </c>
    </row>
    <row r="307" spans="1:19" ht="16.5" hidden="1" customHeight="1" outlineLevel="1" thickBot="1" x14ac:dyDescent="0.3">
      <c r="A307" s="278"/>
      <c r="B307" s="327"/>
      <c r="C307" s="284"/>
      <c r="D307" s="102" t="s">
        <v>15</v>
      </c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4"/>
      <c r="R307" s="281"/>
      <c r="S307" s="107"/>
    </row>
    <row r="308" spans="1:19" ht="15.75" hidden="1" customHeight="1" outlineLevel="1" x14ac:dyDescent="0.25">
      <c r="A308" s="276" t="s">
        <v>90</v>
      </c>
      <c r="B308" s="276" t="s">
        <v>91</v>
      </c>
      <c r="C308" s="282" t="s">
        <v>91</v>
      </c>
      <c r="D308" s="77" t="s">
        <v>14</v>
      </c>
      <c r="E308" s="78"/>
      <c r="F308" s="78"/>
      <c r="G308" s="79"/>
      <c r="H308" s="80"/>
      <c r="I308" s="80"/>
      <c r="J308" s="80"/>
      <c r="K308" s="80"/>
      <c r="L308" s="80"/>
      <c r="M308" s="80"/>
      <c r="N308" s="80"/>
      <c r="O308" s="80"/>
      <c r="P308" s="80"/>
      <c r="Q308" s="90">
        <f t="shared" ref="Q308" si="91">+SUM(E308:P308)</f>
        <v>0</v>
      </c>
      <c r="R308" s="279">
        <f>Q308/Q309</f>
        <v>0</v>
      </c>
      <c r="S308" s="114" t="e">
        <v>#DIV/0!</v>
      </c>
    </row>
    <row r="309" spans="1:19" ht="15.75" hidden="1" customHeight="1" outlineLevel="1" x14ac:dyDescent="0.25">
      <c r="A309" s="277"/>
      <c r="B309" s="277"/>
      <c r="C309" s="283"/>
      <c r="D309" s="81" t="s">
        <v>1</v>
      </c>
      <c r="E309" s="101"/>
      <c r="F309" s="101"/>
      <c r="G309" s="101"/>
      <c r="H309" s="101">
        <v>40000</v>
      </c>
      <c r="I309" s="101"/>
      <c r="J309" s="101">
        <v>10000</v>
      </c>
      <c r="K309" s="101"/>
      <c r="L309" s="101"/>
      <c r="M309" s="101">
        <v>10000</v>
      </c>
      <c r="N309" s="101">
        <v>20000</v>
      </c>
      <c r="O309" s="101">
        <v>20000</v>
      </c>
      <c r="P309" s="101">
        <v>20000</v>
      </c>
      <c r="Q309" s="155">
        <f t="shared" ref="Q309" si="92">SUM(E309:P309)</f>
        <v>120000</v>
      </c>
      <c r="R309" s="280"/>
      <c r="S309" s="113">
        <f>Q309/$Q$319</f>
        <v>7.4992969409117894E-3</v>
      </c>
    </row>
    <row r="310" spans="1:19" ht="16.5" hidden="1" customHeight="1" outlineLevel="1" thickBot="1" x14ac:dyDescent="0.3">
      <c r="A310" s="278"/>
      <c r="B310" s="278"/>
      <c r="C310" s="284"/>
      <c r="D310" s="102" t="s">
        <v>15</v>
      </c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4"/>
      <c r="R310" s="281"/>
      <c r="S310" s="107"/>
    </row>
    <row r="311" spans="1:19" ht="17.25" collapsed="1" thickTop="1" thickBot="1" x14ac:dyDescent="0.25">
      <c r="A311" s="305" t="s">
        <v>87</v>
      </c>
      <c r="B311" s="305" t="s">
        <v>0</v>
      </c>
      <c r="C311" s="303" t="s">
        <v>0</v>
      </c>
      <c r="D311" s="23" t="s">
        <v>14</v>
      </c>
      <c r="E311" s="74">
        <f>SUM(E302,E305,E308)</f>
        <v>6703.46</v>
      </c>
      <c r="F311" s="74">
        <f t="shared" ref="F311:Q311" si="93">SUM(F302,F305,F308)</f>
        <v>0</v>
      </c>
      <c r="G311" s="74">
        <f t="shared" si="93"/>
        <v>0</v>
      </c>
      <c r="H311" s="74">
        <f t="shared" si="93"/>
        <v>0</v>
      </c>
      <c r="I311" s="74">
        <f t="shared" si="93"/>
        <v>0</v>
      </c>
      <c r="J311" s="74">
        <f t="shared" si="93"/>
        <v>0</v>
      </c>
      <c r="K311" s="74">
        <f t="shared" si="93"/>
        <v>0</v>
      </c>
      <c r="L311" s="74">
        <f t="shared" si="93"/>
        <v>0</v>
      </c>
      <c r="M311" s="74">
        <f t="shared" si="93"/>
        <v>0</v>
      </c>
      <c r="N311" s="74">
        <f t="shared" si="93"/>
        <v>0</v>
      </c>
      <c r="O311" s="74">
        <f t="shared" si="93"/>
        <v>0</v>
      </c>
      <c r="P311" s="74">
        <f t="shared" si="93"/>
        <v>0</v>
      </c>
      <c r="Q311" s="74">
        <f t="shared" si="93"/>
        <v>6703.46</v>
      </c>
      <c r="R311" s="307">
        <f>Q311/Q312</f>
        <v>2.6339724950884085E-2</v>
      </c>
      <c r="S311" s="128" t="e">
        <v>#DIV/0!</v>
      </c>
    </row>
    <row r="312" spans="1:19" ht="17.25" thickTop="1" thickBot="1" x14ac:dyDescent="0.3">
      <c r="A312" s="306"/>
      <c r="B312" s="306"/>
      <c r="C312" s="304"/>
      <c r="D312" s="24" t="s">
        <v>1</v>
      </c>
      <c r="E312" s="27">
        <f>SUM(E303,E306,E309)</f>
        <v>8000</v>
      </c>
      <c r="F312" s="27">
        <f t="shared" ref="F312:Q312" si="94">SUM(F303,F306,F309)</f>
        <v>8000</v>
      </c>
      <c r="G312" s="27">
        <f t="shared" si="94"/>
        <v>8000</v>
      </c>
      <c r="H312" s="27">
        <f t="shared" si="94"/>
        <v>50500</v>
      </c>
      <c r="I312" s="27">
        <f t="shared" si="94"/>
        <v>10000</v>
      </c>
      <c r="J312" s="27">
        <f t="shared" si="94"/>
        <v>22000</v>
      </c>
      <c r="K312" s="27">
        <f t="shared" si="94"/>
        <v>9000</v>
      </c>
      <c r="L312" s="27">
        <f t="shared" si="94"/>
        <v>8500</v>
      </c>
      <c r="M312" s="27">
        <f t="shared" si="94"/>
        <v>25000</v>
      </c>
      <c r="N312" s="27">
        <f t="shared" si="94"/>
        <v>35000</v>
      </c>
      <c r="O312" s="27">
        <f t="shared" si="94"/>
        <v>33500</v>
      </c>
      <c r="P312" s="27">
        <f t="shared" si="94"/>
        <v>37000</v>
      </c>
      <c r="Q312" s="27">
        <f t="shared" si="94"/>
        <v>254500</v>
      </c>
      <c r="R312" s="307"/>
      <c r="S312" s="113">
        <f>Q312/$Q$319</f>
        <v>1.5904758928850422E-2</v>
      </c>
    </row>
    <row r="313" spans="1:19" ht="17.25" thickTop="1" thickBot="1" x14ac:dyDescent="0.3">
      <c r="A313" s="306"/>
      <c r="B313" s="306"/>
      <c r="C313" s="304"/>
      <c r="D313" s="25" t="s">
        <v>2</v>
      </c>
      <c r="E313" s="8">
        <f>E311/E312</f>
        <v>0.83793249999999997</v>
      </c>
      <c r="F313" s="8">
        <f>F311/F312</f>
        <v>0</v>
      </c>
      <c r="G313" s="8">
        <f>G311/G312</f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2.18E-2</v>
      </c>
      <c r="N313" s="20">
        <v>4.2857142857142858E-2</v>
      </c>
      <c r="O313" s="20">
        <v>0</v>
      </c>
      <c r="P313" s="41">
        <v>0</v>
      </c>
      <c r="Q313" s="50">
        <f>Q311/Q312</f>
        <v>2.6339724950884085E-2</v>
      </c>
      <c r="R313" s="307"/>
      <c r="S313" s="107"/>
    </row>
    <row r="314" spans="1:19" ht="17.25" thickTop="1" thickBot="1" x14ac:dyDescent="0.3">
      <c r="A314" s="306"/>
      <c r="B314" s="306"/>
      <c r="C314" s="304"/>
      <c r="D314" s="26" t="s">
        <v>3</v>
      </c>
      <c r="E314" s="28">
        <f>E311-E312</f>
        <v>-1296.54</v>
      </c>
      <c r="F314" s="28">
        <f>F311-F312</f>
        <v>-8000</v>
      </c>
      <c r="G314" s="28">
        <v>-8000</v>
      </c>
      <c r="H314" s="28">
        <v>-50500</v>
      </c>
      <c r="I314" s="28">
        <v>-10000</v>
      </c>
      <c r="J314" s="28">
        <v>-22000</v>
      </c>
      <c r="K314" s="28">
        <v>-9000</v>
      </c>
      <c r="L314" s="28">
        <v>-8500</v>
      </c>
      <c r="M314" s="28">
        <v>-24455</v>
      </c>
      <c r="N314" s="28">
        <v>-33500</v>
      </c>
      <c r="O314" s="28">
        <v>-33500</v>
      </c>
      <c r="P314" s="42">
        <v>-37000</v>
      </c>
      <c r="Q314" s="53">
        <f>Q311-Q312</f>
        <v>-247796.54</v>
      </c>
      <c r="R314" s="307"/>
      <c r="S314" s="108"/>
    </row>
    <row r="315" spans="1:19" ht="16.5" thickBot="1" x14ac:dyDescent="0.3">
      <c r="A315" s="306"/>
      <c r="B315" s="306"/>
      <c r="C315" s="304"/>
      <c r="D315" s="73" t="s">
        <v>4</v>
      </c>
      <c r="E315" s="52">
        <f>E314/E311</f>
        <v>-0.19341355061416043</v>
      </c>
      <c r="F315" s="52" t="e">
        <f>F314/F311</f>
        <v>#DIV/0!</v>
      </c>
      <c r="G315" s="21" t="e">
        <v>#DIV/0!</v>
      </c>
      <c r="H315" s="9" t="e">
        <f>H314/H311</f>
        <v>#DIV/0!</v>
      </c>
      <c r="I315" s="9" t="e">
        <f t="shared" ref="I315:P315" si="95">I314/I311</f>
        <v>#DIV/0!</v>
      </c>
      <c r="J315" s="9" t="e">
        <f t="shared" si="95"/>
        <v>#DIV/0!</v>
      </c>
      <c r="K315" s="9" t="e">
        <f t="shared" si="95"/>
        <v>#DIV/0!</v>
      </c>
      <c r="L315" s="9" t="e">
        <f t="shared" si="95"/>
        <v>#DIV/0!</v>
      </c>
      <c r="M315" s="9" t="e">
        <f t="shared" si="95"/>
        <v>#DIV/0!</v>
      </c>
      <c r="N315" s="9" t="e">
        <f t="shared" si="95"/>
        <v>#DIV/0!</v>
      </c>
      <c r="O315" s="9" t="e">
        <f t="shared" si="95"/>
        <v>#DIV/0!</v>
      </c>
      <c r="P315" s="9" t="e">
        <f t="shared" si="95"/>
        <v>#DIV/0!</v>
      </c>
      <c r="Q315" s="52">
        <f>Q314/Q311</f>
        <v>-36.965468578912983</v>
      </c>
      <c r="R315" s="22"/>
      <c r="S315" s="111"/>
    </row>
    <row r="316" spans="1:19" x14ac:dyDescent="0.2">
      <c r="A316" s="110"/>
      <c r="B316" s="110"/>
      <c r="C316" s="126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</row>
    <row r="317" spans="1:19" ht="16.5" thickBot="1" x14ac:dyDescent="0.25">
      <c r="A317" s="4"/>
      <c r="B317" s="4"/>
      <c r="C317" s="76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5"/>
      <c r="S317" s="1"/>
    </row>
    <row r="318" spans="1:19" ht="17.25" thickTop="1" thickBot="1" x14ac:dyDescent="0.25">
      <c r="A318" s="315" t="s">
        <v>92</v>
      </c>
      <c r="B318" s="316"/>
      <c r="C318" s="317"/>
      <c r="D318" s="29" t="s">
        <v>14</v>
      </c>
      <c r="E318" s="30">
        <f>E311+E296+E259+E237+E158+E113+E67</f>
        <v>1690699.71</v>
      </c>
      <c r="F318" s="30">
        <f t="shared" ref="F318:Q318" si="96">F311+F296+F259+F237+F158+F113+F67</f>
        <v>0</v>
      </c>
      <c r="G318" s="30">
        <f t="shared" si="96"/>
        <v>0</v>
      </c>
      <c r="H318" s="30">
        <f t="shared" si="96"/>
        <v>0</v>
      </c>
      <c r="I318" s="30">
        <f t="shared" si="96"/>
        <v>0</v>
      </c>
      <c r="J318" s="30">
        <f t="shared" si="96"/>
        <v>0</v>
      </c>
      <c r="K318" s="30">
        <f t="shared" si="96"/>
        <v>0</v>
      </c>
      <c r="L318" s="30">
        <f t="shared" si="96"/>
        <v>0</v>
      </c>
      <c r="M318" s="30">
        <f t="shared" si="96"/>
        <v>0</v>
      </c>
      <c r="N318" s="30">
        <f t="shared" si="96"/>
        <v>0</v>
      </c>
      <c r="O318" s="30">
        <f t="shared" si="96"/>
        <v>0</v>
      </c>
      <c r="P318" s="30">
        <f t="shared" si="96"/>
        <v>0</v>
      </c>
      <c r="Q318" s="30">
        <f t="shared" si="96"/>
        <v>1690699.71</v>
      </c>
      <c r="R318" s="324">
        <f>Q318/Q319</f>
        <v>0.10565882636002874</v>
      </c>
      <c r="S318" s="30" t="e">
        <v>#DIV/0!</v>
      </c>
    </row>
    <row r="319" spans="1:19" ht="17.25" thickTop="1" thickBot="1" x14ac:dyDescent="0.25">
      <c r="A319" s="318"/>
      <c r="B319" s="319"/>
      <c r="C319" s="320"/>
      <c r="D319" s="31" t="s">
        <v>1</v>
      </c>
      <c r="E319" s="146">
        <f>SUM(E312,E297,E260,E238,E159,E114,E68)</f>
        <v>1435665</v>
      </c>
      <c r="F319" s="146">
        <f t="shared" ref="F319:Q319" si="97">SUM(F312,F297,F260,F238,F159,F114,F68)</f>
        <v>1507367</v>
      </c>
      <c r="G319" s="146">
        <f t="shared" si="97"/>
        <v>1733267</v>
      </c>
      <c r="H319" s="146">
        <f t="shared" si="97"/>
        <v>1157167</v>
      </c>
      <c r="I319" s="146">
        <f t="shared" si="97"/>
        <v>1169117</v>
      </c>
      <c r="J319" s="146">
        <f t="shared" si="97"/>
        <v>1082667</v>
      </c>
      <c r="K319" s="146">
        <f t="shared" si="97"/>
        <v>1077667</v>
      </c>
      <c r="L319" s="146">
        <f t="shared" si="97"/>
        <v>1196367</v>
      </c>
      <c r="M319" s="146">
        <f t="shared" si="97"/>
        <v>1630617</v>
      </c>
      <c r="N319" s="146">
        <f t="shared" si="97"/>
        <v>1429067</v>
      </c>
      <c r="O319" s="146">
        <f t="shared" si="97"/>
        <v>1255517</v>
      </c>
      <c r="P319" s="146">
        <f t="shared" si="97"/>
        <v>1327015</v>
      </c>
      <c r="Q319" s="146">
        <f t="shared" si="97"/>
        <v>16001500</v>
      </c>
      <c r="R319" s="324"/>
      <c r="S319" s="113">
        <f>Q318/$Q$319</f>
        <v>0.10565882636002874</v>
      </c>
    </row>
    <row r="320" spans="1:19" ht="17.25" customHeight="1" thickTop="1" thickBot="1" x14ac:dyDescent="0.3">
      <c r="A320" s="318"/>
      <c r="B320" s="319"/>
      <c r="C320" s="320"/>
      <c r="D320" s="13" t="s">
        <v>2</v>
      </c>
      <c r="E320" s="8">
        <f t="shared" ref="E320:P320" si="98">E318/E319</f>
        <v>1.1776422145834857</v>
      </c>
      <c r="F320" s="8">
        <f>F318/F319</f>
        <v>0</v>
      </c>
      <c r="G320" s="8">
        <f t="shared" si="98"/>
        <v>0</v>
      </c>
      <c r="H320" s="8">
        <f t="shared" si="98"/>
        <v>0</v>
      </c>
      <c r="I320" s="8">
        <f t="shared" si="98"/>
        <v>0</v>
      </c>
      <c r="J320" s="8">
        <f t="shared" si="98"/>
        <v>0</v>
      </c>
      <c r="K320" s="8">
        <f t="shared" si="98"/>
        <v>0</v>
      </c>
      <c r="L320" s="8">
        <f t="shared" si="98"/>
        <v>0</v>
      </c>
      <c r="M320" s="8">
        <f t="shared" si="98"/>
        <v>0</v>
      </c>
      <c r="N320" s="8">
        <f t="shared" si="98"/>
        <v>0</v>
      </c>
      <c r="O320" s="8">
        <f t="shared" si="98"/>
        <v>0</v>
      </c>
      <c r="P320" s="8">
        <f t="shared" si="98"/>
        <v>0</v>
      </c>
      <c r="Q320" s="43">
        <f>Q318/Q319</f>
        <v>0.10565882636002874</v>
      </c>
      <c r="R320" s="324"/>
      <c r="S320" s="112"/>
    </row>
    <row r="321" spans="1:19" ht="19.5" customHeight="1" thickTop="1" thickBot="1" x14ac:dyDescent="0.3">
      <c r="A321" s="318"/>
      <c r="B321" s="319"/>
      <c r="C321" s="320"/>
      <c r="D321" s="32" t="s">
        <v>3</v>
      </c>
      <c r="E321" s="33">
        <f>E318-E319</f>
        <v>255034.70999999996</v>
      </c>
      <c r="F321" s="33">
        <f t="shared" ref="F321:P321" si="99">F318-F319</f>
        <v>-1507367</v>
      </c>
      <c r="G321" s="33">
        <f t="shared" si="99"/>
        <v>-1733267</v>
      </c>
      <c r="H321" s="33">
        <f t="shared" si="99"/>
        <v>-1157167</v>
      </c>
      <c r="I321" s="33">
        <f t="shared" si="99"/>
        <v>-1169117</v>
      </c>
      <c r="J321" s="33">
        <f t="shared" si="99"/>
        <v>-1082667</v>
      </c>
      <c r="K321" s="33">
        <f t="shared" si="99"/>
        <v>-1077667</v>
      </c>
      <c r="L321" s="33">
        <f t="shared" si="99"/>
        <v>-1196367</v>
      </c>
      <c r="M321" s="33">
        <f t="shared" si="99"/>
        <v>-1630617</v>
      </c>
      <c r="N321" s="33">
        <f t="shared" si="99"/>
        <v>-1429067</v>
      </c>
      <c r="O321" s="33">
        <f t="shared" si="99"/>
        <v>-1255517</v>
      </c>
      <c r="P321" s="33">
        <f t="shared" si="99"/>
        <v>-1327015</v>
      </c>
      <c r="Q321" s="54">
        <f>Q318-Q319</f>
        <v>-14310800.289999999</v>
      </c>
      <c r="R321" s="324"/>
      <c r="S321" s="133"/>
    </row>
    <row r="322" spans="1:19" ht="17.25" customHeight="1" thickTop="1" thickBot="1" x14ac:dyDescent="0.25">
      <c r="A322" s="321"/>
      <c r="B322" s="322"/>
      <c r="C322" s="323"/>
      <c r="D322" s="34" t="s">
        <v>4</v>
      </c>
      <c r="E322" s="55">
        <f>E321/E318</f>
        <v>0.15084565786079182</v>
      </c>
      <c r="F322" s="55" t="e">
        <f t="shared" ref="F322:P322" si="100">F321/F318</f>
        <v>#DIV/0!</v>
      </c>
      <c r="G322" s="55" t="e">
        <f t="shared" si="100"/>
        <v>#DIV/0!</v>
      </c>
      <c r="H322" s="55" t="e">
        <f t="shared" si="100"/>
        <v>#DIV/0!</v>
      </c>
      <c r="I322" s="55" t="e">
        <f t="shared" si="100"/>
        <v>#DIV/0!</v>
      </c>
      <c r="J322" s="55" t="e">
        <f t="shared" si="100"/>
        <v>#DIV/0!</v>
      </c>
      <c r="K322" s="55" t="e">
        <f t="shared" si="100"/>
        <v>#DIV/0!</v>
      </c>
      <c r="L322" s="55" t="e">
        <f t="shared" si="100"/>
        <v>#DIV/0!</v>
      </c>
      <c r="M322" s="55" t="e">
        <f t="shared" si="100"/>
        <v>#DIV/0!</v>
      </c>
      <c r="N322" s="55" t="e">
        <f t="shared" si="100"/>
        <v>#DIV/0!</v>
      </c>
      <c r="O322" s="55" t="e">
        <f t="shared" si="100"/>
        <v>#DIV/0!</v>
      </c>
      <c r="P322" s="55" t="e">
        <f t="shared" si="100"/>
        <v>#DIV/0!</v>
      </c>
      <c r="Q322" s="55">
        <f>Q321/Q318</f>
        <v>-8.46442464345132</v>
      </c>
      <c r="R322" s="35"/>
      <c r="S322" s="111"/>
    </row>
    <row r="323" spans="1:19" ht="15.75" thickTop="1" x14ac:dyDescent="0.2">
      <c r="Q323" s="153"/>
    </row>
  </sheetData>
  <autoFilter ref="C1:C323" xr:uid="{C71EF89A-58A2-4535-855F-3BEB4018DC27}"/>
  <mergeCells count="388">
    <mergeCell ref="S257:S258"/>
    <mergeCell ref="R255:R258"/>
    <mergeCell ref="B255:B258"/>
    <mergeCell ref="C255:C258"/>
    <mergeCell ref="A255:A258"/>
    <mergeCell ref="A170:A172"/>
    <mergeCell ref="B170:B172"/>
    <mergeCell ref="C170:C172"/>
    <mergeCell ref="R170:R172"/>
    <mergeCell ref="A185:A187"/>
    <mergeCell ref="B185:B187"/>
    <mergeCell ref="C185:C187"/>
    <mergeCell ref="R185:R187"/>
    <mergeCell ref="A188:A190"/>
    <mergeCell ref="B188:B190"/>
    <mergeCell ref="C188:C190"/>
    <mergeCell ref="R188:R190"/>
    <mergeCell ref="A179:A181"/>
    <mergeCell ref="B179:B181"/>
    <mergeCell ref="A252:A254"/>
    <mergeCell ref="C252:C254"/>
    <mergeCell ref="A246:A248"/>
    <mergeCell ref="C246:C248"/>
    <mergeCell ref="B252:B254"/>
    <mergeCell ref="A36:A38"/>
    <mergeCell ref="B36:B38"/>
    <mergeCell ref="C36:C38"/>
    <mergeCell ref="R36:R38"/>
    <mergeCell ref="A67:A71"/>
    <mergeCell ref="B67:B71"/>
    <mergeCell ref="C67:C71"/>
    <mergeCell ref="R67:R70"/>
    <mergeCell ref="A57:A59"/>
    <mergeCell ref="B57:B59"/>
    <mergeCell ref="C57:C59"/>
    <mergeCell ref="R57:R59"/>
    <mergeCell ref="A60:A62"/>
    <mergeCell ref="B60:B62"/>
    <mergeCell ref="C60:C62"/>
    <mergeCell ref="R60:R62"/>
    <mergeCell ref="A42:A44"/>
    <mergeCell ref="B42:B44"/>
    <mergeCell ref="C42:C44"/>
    <mergeCell ref="R42:R44"/>
    <mergeCell ref="R45:R47"/>
    <mergeCell ref="A48:A50"/>
    <mergeCell ref="B48:B50"/>
    <mergeCell ref="C48:C50"/>
    <mergeCell ref="A302:A304"/>
    <mergeCell ref="B302:B304"/>
    <mergeCell ref="C302:C304"/>
    <mergeCell ref="R302:R304"/>
    <mergeCell ref="A305:A307"/>
    <mergeCell ref="B305:B307"/>
    <mergeCell ref="C305:C307"/>
    <mergeCell ref="R305:R307"/>
    <mergeCell ref="A292:A295"/>
    <mergeCell ref="B292:B295"/>
    <mergeCell ref="C292:C295"/>
    <mergeCell ref="R292:R295"/>
    <mergeCell ref="A296:A300"/>
    <mergeCell ref="B296:B300"/>
    <mergeCell ref="C296:C300"/>
    <mergeCell ref="R296:R299"/>
    <mergeCell ref="A308:A310"/>
    <mergeCell ref="B308:B310"/>
    <mergeCell ref="C308:C310"/>
    <mergeCell ref="R308:R310"/>
    <mergeCell ref="A311:A315"/>
    <mergeCell ref="B311:B315"/>
    <mergeCell ref="C311:C315"/>
    <mergeCell ref="R311:R314"/>
    <mergeCell ref="A318:C322"/>
    <mergeCell ref="R318:R321"/>
    <mergeCell ref="A283:A285"/>
    <mergeCell ref="B283:B285"/>
    <mergeCell ref="C283:C285"/>
    <mergeCell ref="R283:R285"/>
    <mergeCell ref="A289:A291"/>
    <mergeCell ref="B289:B291"/>
    <mergeCell ref="C289:C291"/>
    <mergeCell ref="R289:R291"/>
    <mergeCell ref="A286:A288"/>
    <mergeCell ref="B286:B288"/>
    <mergeCell ref="C286:C288"/>
    <mergeCell ref="R286:R288"/>
    <mergeCell ref="A277:A279"/>
    <mergeCell ref="B277:B279"/>
    <mergeCell ref="C277:C279"/>
    <mergeCell ref="R277:R279"/>
    <mergeCell ref="A280:A282"/>
    <mergeCell ref="B280:B282"/>
    <mergeCell ref="C280:C282"/>
    <mergeCell ref="R280:R282"/>
    <mergeCell ref="A271:A273"/>
    <mergeCell ref="B271:B273"/>
    <mergeCell ref="C271:C273"/>
    <mergeCell ref="R271:R273"/>
    <mergeCell ref="A274:A276"/>
    <mergeCell ref="B274:B276"/>
    <mergeCell ref="C274:C276"/>
    <mergeCell ref="R274:R276"/>
    <mergeCell ref="A265:A267"/>
    <mergeCell ref="B265:B267"/>
    <mergeCell ref="C265:C267"/>
    <mergeCell ref="R265:R267"/>
    <mergeCell ref="A268:A270"/>
    <mergeCell ref="B268:B270"/>
    <mergeCell ref="C268:C270"/>
    <mergeCell ref="R268:R270"/>
    <mergeCell ref="A259:A263"/>
    <mergeCell ref="B259:B263"/>
    <mergeCell ref="C259:C263"/>
    <mergeCell ref="R259:R262"/>
    <mergeCell ref="R252:R254"/>
    <mergeCell ref="A249:A251"/>
    <mergeCell ref="C249:C251"/>
    <mergeCell ref="A243:A245"/>
    <mergeCell ref="C243:C245"/>
    <mergeCell ref="B243:B245"/>
    <mergeCell ref="B246:B248"/>
    <mergeCell ref="B249:B251"/>
    <mergeCell ref="R227:R229"/>
    <mergeCell ref="A230:A232"/>
    <mergeCell ref="B230:B232"/>
    <mergeCell ref="C230:C232"/>
    <mergeCell ref="R230:R232"/>
    <mergeCell ref="R246:R248"/>
    <mergeCell ref="R249:R251"/>
    <mergeCell ref="A233:A236"/>
    <mergeCell ref="B233:B236"/>
    <mergeCell ref="C233:C236"/>
    <mergeCell ref="R233:R236"/>
    <mergeCell ref="A237:A241"/>
    <mergeCell ref="B237:B241"/>
    <mergeCell ref="C237:C241"/>
    <mergeCell ref="R237:R240"/>
    <mergeCell ref="R243:R245"/>
    <mergeCell ref="A221:A223"/>
    <mergeCell ref="B221:B223"/>
    <mergeCell ref="C221:C223"/>
    <mergeCell ref="R221:R223"/>
    <mergeCell ref="A224:A226"/>
    <mergeCell ref="B224:B226"/>
    <mergeCell ref="C224:C226"/>
    <mergeCell ref="R224:R226"/>
    <mergeCell ref="A227:A229"/>
    <mergeCell ref="B227:B229"/>
    <mergeCell ref="C227:C229"/>
    <mergeCell ref="R215:R217"/>
    <mergeCell ref="A218:A220"/>
    <mergeCell ref="B218:B220"/>
    <mergeCell ref="C218:C220"/>
    <mergeCell ref="R218:R220"/>
    <mergeCell ref="A209:A211"/>
    <mergeCell ref="B209:B211"/>
    <mergeCell ref="C209:C211"/>
    <mergeCell ref="R209:R211"/>
    <mergeCell ref="A212:A214"/>
    <mergeCell ref="B212:B214"/>
    <mergeCell ref="C212:C214"/>
    <mergeCell ref="R212:R214"/>
    <mergeCell ref="A215:A217"/>
    <mergeCell ref="B215:B217"/>
    <mergeCell ref="C215:C217"/>
    <mergeCell ref="R203:R205"/>
    <mergeCell ref="A206:A208"/>
    <mergeCell ref="B206:B208"/>
    <mergeCell ref="C206:C208"/>
    <mergeCell ref="R206:R208"/>
    <mergeCell ref="A197:A199"/>
    <mergeCell ref="B197:B199"/>
    <mergeCell ref="C197:C199"/>
    <mergeCell ref="R197:R199"/>
    <mergeCell ref="A200:A202"/>
    <mergeCell ref="B200:B202"/>
    <mergeCell ref="C200:C202"/>
    <mergeCell ref="R200:R202"/>
    <mergeCell ref="A203:A205"/>
    <mergeCell ref="B203:B205"/>
    <mergeCell ref="C203:C205"/>
    <mergeCell ref="R191:R193"/>
    <mergeCell ref="A194:A196"/>
    <mergeCell ref="B194:B196"/>
    <mergeCell ref="C194:C196"/>
    <mergeCell ref="R194:R196"/>
    <mergeCell ref="A158:A162"/>
    <mergeCell ref="B158:B162"/>
    <mergeCell ref="C158:C162"/>
    <mergeCell ref="R158:R161"/>
    <mergeCell ref="C179:C181"/>
    <mergeCell ref="R179:R181"/>
    <mergeCell ref="A182:A184"/>
    <mergeCell ref="B182:B184"/>
    <mergeCell ref="C182:C184"/>
    <mergeCell ref="R182:R184"/>
    <mergeCell ref="A176:A178"/>
    <mergeCell ref="B176:B178"/>
    <mergeCell ref="C176:C178"/>
    <mergeCell ref="R176:R178"/>
    <mergeCell ref="A191:A193"/>
    <mergeCell ref="B191:B193"/>
    <mergeCell ref="C191:C193"/>
    <mergeCell ref="C155:C157"/>
    <mergeCell ref="R155:R157"/>
    <mergeCell ref="A173:A175"/>
    <mergeCell ref="B173:B175"/>
    <mergeCell ref="C173:C175"/>
    <mergeCell ref="R173:R175"/>
    <mergeCell ref="A149:A151"/>
    <mergeCell ref="B149:B151"/>
    <mergeCell ref="C149:C151"/>
    <mergeCell ref="R149:R151"/>
    <mergeCell ref="A152:A154"/>
    <mergeCell ref="B152:B154"/>
    <mergeCell ref="C152:C154"/>
    <mergeCell ref="R152:R154"/>
    <mergeCell ref="A164:A166"/>
    <mergeCell ref="B164:B166"/>
    <mergeCell ref="C164:C166"/>
    <mergeCell ref="R164:R166"/>
    <mergeCell ref="A167:A169"/>
    <mergeCell ref="B167:B169"/>
    <mergeCell ref="C167:C169"/>
    <mergeCell ref="R167:R169"/>
    <mergeCell ref="A155:A157"/>
    <mergeCell ref="B155:B157"/>
    <mergeCell ref="A143:A145"/>
    <mergeCell ref="B143:B145"/>
    <mergeCell ref="C143:C145"/>
    <mergeCell ref="R143:R145"/>
    <mergeCell ref="A146:A148"/>
    <mergeCell ref="B146:B148"/>
    <mergeCell ref="C146:C148"/>
    <mergeCell ref="R146:R148"/>
    <mergeCell ref="A137:A139"/>
    <mergeCell ref="B137:B139"/>
    <mergeCell ref="C137:C139"/>
    <mergeCell ref="R137:R139"/>
    <mergeCell ref="A140:A142"/>
    <mergeCell ref="B140:B142"/>
    <mergeCell ref="C140:C142"/>
    <mergeCell ref="R140:R142"/>
    <mergeCell ref="A131:A133"/>
    <mergeCell ref="B131:B133"/>
    <mergeCell ref="C131:C133"/>
    <mergeCell ref="R131:R133"/>
    <mergeCell ref="A134:A136"/>
    <mergeCell ref="B134:B136"/>
    <mergeCell ref="C134:C136"/>
    <mergeCell ref="R134:R136"/>
    <mergeCell ref="A122:A124"/>
    <mergeCell ref="B122:B124"/>
    <mergeCell ref="C122:C124"/>
    <mergeCell ref="R122:R124"/>
    <mergeCell ref="A128:A130"/>
    <mergeCell ref="B128:B130"/>
    <mergeCell ref="C128:C130"/>
    <mergeCell ref="R128:R130"/>
    <mergeCell ref="R125:R127"/>
    <mergeCell ref="A125:A127"/>
    <mergeCell ref="C125:C127"/>
    <mergeCell ref="B125:B127"/>
    <mergeCell ref="A113:A117"/>
    <mergeCell ref="B113:B117"/>
    <mergeCell ref="C113:C117"/>
    <mergeCell ref="R113:R116"/>
    <mergeCell ref="A119:A121"/>
    <mergeCell ref="B119:B121"/>
    <mergeCell ref="C119:C121"/>
    <mergeCell ref="R119:R121"/>
    <mergeCell ref="A109:A112"/>
    <mergeCell ref="B109:B112"/>
    <mergeCell ref="C109:C112"/>
    <mergeCell ref="R109:R112"/>
    <mergeCell ref="A100:A102"/>
    <mergeCell ref="B100:B102"/>
    <mergeCell ref="C100:C102"/>
    <mergeCell ref="R100:R102"/>
    <mergeCell ref="A106:A108"/>
    <mergeCell ref="B106:B108"/>
    <mergeCell ref="C106:C108"/>
    <mergeCell ref="R106:R108"/>
    <mergeCell ref="A94:A96"/>
    <mergeCell ref="B94:B96"/>
    <mergeCell ref="C94:C96"/>
    <mergeCell ref="R94:R96"/>
    <mergeCell ref="A97:A99"/>
    <mergeCell ref="B97:B99"/>
    <mergeCell ref="C97:C99"/>
    <mergeCell ref="R97:R99"/>
    <mergeCell ref="A103:A105"/>
    <mergeCell ref="B103:B105"/>
    <mergeCell ref="C103:C105"/>
    <mergeCell ref="R103:R105"/>
    <mergeCell ref="A91:A93"/>
    <mergeCell ref="B91:B93"/>
    <mergeCell ref="C91:C93"/>
    <mergeCell ref="R91:R93"/>
    <mergeCell ref="A73:A75"/>
    <mergeCell ref="B73:B75"/>
    <mergeCell ref="C73:C75"/>
    <mergeCell ref="R73:R75"/>
    <mergeCell ref="A82:A84"/>
    <mergeCell ref="B82:B84"/>
    <mergeCell ref="C82:C84"/>
    <mergeCell ref="R82:R84"/>
    <mergeCell ref="A85:A87"/>
    <mergeCell ref="B85:B87"/>
    <mergeCell ref="C85:C87"/>
    <mergeCell ref="R85:R87"/>
    <mergeCell ref="A76:A78"/>
    <mergeCell ref="C76:C78"/>
    <mergeCell ref="R76:R78"/>
    <mergeCell ref="A79:A81"/>
    <mergeCell ref="C79:C81"/>
    <mergeCell ref="R79:R81"/>
    <mergeCell ref="A21:A23"/>
    <mergeCell ref="B21:B23"/>
    <mergeCell ref="C21:C23"/>
    <mergeCell ref="R21:R23"/>
    <mergeCell ref="A24:A26"/>
    <mergeCell ref="B24:B26"/>
    <mergeCell ref="C24:C26"/>
    <mergeCell ref="A88:A90"/>
    <mergeCell ref="B88:B90"/>
    <mergeCell ref="C88:C90"/>
    <mergeCell ref="R88:R90"/>
    <mergeCell ref="C45:C47"/>
    <mergeCell ref="A54:A56"/>
    <mergeCell ref="B54:B56"/>
    <mergeCell ref="C54:C56"/>
    <mergeCell ref="R54:R56"/>
    <mergeCell ref="R24:R26"/>
    <mergeCell ref="A39:A41"/>
    <mergeCell ref="B39:B41"/>
    <mergeCell ref="C39:C41"/>
    <mergeCell ref="R39:R41"/>
    <mergeCell ref="A33:A35"/>
    <mergeCell ref="B33:B35"/>
    <mergeCell ref="C33:C35"/>
    <mergeCell ref="A12:A14"/>
    <mergeCell ref="B12:B14"/>
    <mergeCell ref="C12:C14"/>
    <mergeCell ref="R12:R14"/>
    <mergeCell ref="A1:P1"/>
    <mergeCell ref="Q1:R1"/>
    <mergeCell ref="R15:R17"/>
    <mergeCell ref="A18:A20"/>
    <mergeCell ref="B18:B20"/>
    <mergeCell ref="C18:C20"/>
    <mergeCell ref="R18:R20"/>
    <mergeCell ref="A9:A11"/>
    <mergeCell ref="B9:B11"/>
    <mergeCell ref="C9:C11"/>
    <mergeCell ref="R9:R11"/>
    <mergeCell ref="A15:A17"/>
    <mergeCell ref="B15:B17"/>
    <mergeCell ref="C15:C17"/>
    <mergeCell ref="S1:S2"/>
    <mergeCell ref="A3:A5"/>
    <mergeCell ref="B3:B5"/>
    <mergeCell ref="C3:C5"/>
    <mergeCell ref="R3:R5"/>
    <mergeCell ref="A6:A8"/>
    <mergeCell ref="B6:B8"/>
    <mergeCell ref="C6:C8"/>
    <mergeCell ref="R6:R8"/>
    <mergeCell ref="R33:R35"/>
    <mergeCell ref="A27:A29"/>
    <mergeCell ref="B27:B29"/>
    <mergeCell ref="C27:C29"/>
    <mergeCell ref="R27:R29"/>
    <mergeCell ref="A30:A32"/>
    <mergeCell ref="B30:B32"/>
    <mergeCell ref="C30:C32"/>
    <mergeCell ref="R30:R32"/>
    <mergeCell ref="A45:A47"/>
    <mergeCell ref="B45:B47"/>
    <mergeCell ref="R48:R50"/>
    <mergeCell ref="A63:A66"/>
    <mergeCell ref="B63:B66"/>
    <mergeCell ref="C63:C66"/>
    <mergeCell ref="R63:R66"/>
    <mergeCell ref="A51:A53"/>
    <mergeCell ref="B51:B53"/>
    <mergeCell ref="C51:C53"/>
    <mergeCell ref="R51:R53"/>
  </mergeCells>
  <conditionalFormatting sqref="E85:H85">
    <cfRule type="containsErrors" dxfId="101" priority="68">
      <formula>ISERROR(E85)</formula>
    </cfRule>
  </conditionalFormatting>
  <conditionalFormatting sqref="E122:H122 J122:P122">
    <cfRule type="containsErrors" dxfId="100" priority="66">
      <formula>ISERROR(E122)</formula>
    </cfRule>
  </conditionalFormatting>
  <conditionalFormatting sqref="E3:I3 M3:Q3 E8:P8">
    <cfRule type="containsErrors" dxfId="99" priority="172">
      <formula>ISERROR(E3)</formula>
    </cfRule>
  </conditionalFormatting>
  <conditionalFormatting sqref="E51:I51 M51:P51">
    <cfRule type="containsErrors" dxfId="98" priority="77">
      <formula>ISERROR(E51)</formula>
    </cfRule>
  </conditionalFormatting>
  <conditionalFormatting sqref="E54:I54 M54:P54">
    <cfRule type="containsErrors" dxfId="97" priority="75">
      <formula>ISERROR(E54)</formula>
    </cfRule>
  </conditionalFormatting>
  <conditionalFormatting sqref="E57:I57">
    <cfRule type="containsErrors" dxfId="96" priority="164">
      <formula>ISERROR(E57)</formula>
    </cfRule>
  </conditionalFormatting>
  <conditionalFormatting sqref="E63:I63 M63:P63">
    <cfRule type="containsErrors" dxfId="95" priority="246">
      <formula>ISERROR(E63)</formula>
    </cfRule>
  </conditionalFormatting>
  <conditionalFormatting sqref="E94:I94">
    <cfRule type="containsErrors" dxfId="94" priority="206">
      <formula>ISERROR(E94)</formula>
    </cfRule>
  </conditionalFormatting>
  <conditionalFormatting sqref="E109:I109">
    <cfRule type="containsErrors" dxfId="93" priority="204">
      <formula>ISERROR(E109)</formula>
    </cfRule>
  </conditionalFormatting>
  <conditionalFormatting sqref="E152:I152">
    <cfRule type="containsErrors" dxfId="92" priority="181">
      <formula>ISERROR(E152)</formula>
    </cfRule>
  </conditionalFormatting>
  <conditionalFormatting sqref="E170:I170 M170 E171:M172">
    <cfRule type="containsErrors" dxfId="91" priority="128">
      <formula>ISERROR(E170)</formula>
    </cfRule>
  </conditionalFormatting>
  <conditionalFormatting sqref="E173:I173">
    <cfRule type="containsErrors" dxfId="90" priority="53">
      <formula>ISERROR(E173)</formula>
    </cfRule>
  </conditionalFormatting>
  <conditionalFormatting sqref="E176:I176 M176">
    <cfRule type="containsErrors" dxfId="89" priority="150">
      <formula>ISERROR(E176)</formula>
    </cfRule>
  </conditionalFormatting>
  <conditionalFormatting sqref="E191:I191 M191 E200:I200 M200 E201:M202 E203:I203 M203 E204:M205 E206:I206 M206 E208:M208 E209:I209 M209 E211:M214 E215:I215 M215 E216:M217 E229:M232">
    <cfRule type="containsErrors" dxfId="88" priority="152">
      <formula>ISERROR(E191)</formula>
    </cfRule>
  </conditionalFormatting>
  <conditionalFormatting sqref="E218:I218">
    <cfRule type="containsErrors" dxfId="87" priority="137">
      <formula>ISERROR(E218)</formula>
    </cfRule>
  </conditionalFormatting>
  <conditionalFormatting sqref="E233:I233">
    <cfRule type="containsErrors" dxfId="86" priority="25">
      <formula>ISERROR(E233)</formula>
    </cfRule>
  </conditionalFormatting>
  <conditionalFormatting sqref="E243:I243">
    <cfRule type="containsErrors" dxfId="85" priority="191">
      <formula>ISERROR(E243)</formula>
    </cfRule>
  </conditionalFormatting>
  <conditionalFormatting sqref="E265:I265">
    <cfRule type="containsErrors" dxfId="84" priority="111">
      <formula>ISERROR(E265)</formula>
    </cfRule>
  </conditionalFormatting>
  <conditionalFormatting sqref="E292:I292">
    <cfRule type="containsErrors" dxfId="83" priority="95">
      <formula>ISERROR(E292)</formula>
    </cfRule>
  </conditionalFormatting>
  <conditionalFormatting sqref="E302:I302 M302:P302 E303:P304 E305:I305 M305:P305 E306:P307 E308:I308 M308:P308">
    <cfRule type="containsErrors" dxfId="82" priority="219">
      <formula>ISERROR(E302)</formula>
    </cfRule>
  </conditionalFormatting>
  <conditionalFormatting sqref="E273:J289">
    <cfRule type="containsErrors" dxfId="81" priority="97">
      <formula>ISERROR(E273)</formula>
    </cfRule>
  </conditionalFormatting>
  <conditionalFormatting sqref="E146:K146">
    <cfRule type="containsErrors" dxfId="80" priority="83">
      <formula>ISERROR(E146)</formula>
    </cfRule>
  </conditionalFormatting>
  <conditionalFormatting sqref="E92:L93">
    <cfRule type="containsErrors" dxfId="79" priority="240">
      <formula>ISERROR(E92)</formula>
    </cfRule>
  </conditionalFormatting>
  <conditionalFormatting sqref="E95:L96">
    <cfRule type="containsErrors" dxfId="78" priority="205">
      <formula>ISERROR(E95)</formula>
    </cfRule>
  </conditionalFormatting>
  <conditionalFormatting sqref="E105:L108">
    <cfRule type="containsErrors" dxfId="77" priority="155">
      <formula>ISERROR(E105)</formula>
    </cfRule>
  </conditionalFormatting>
  <conditionalFormatting sqref="E165:M169">
    <cfRule type="containsErrors" dxfId="76" priority="144">
      <formula>ISERROR(E165)</formula>
    </cfRule>
  </conditionalFormatting>
  <conditionalFormatting sqref="E177:M181 E199:M199">
    <cfRule type="containsErrors" dxfId="75" priority="149">
      <formula>ISERROR(E177)</formula>
    </cfRule>
  </conditionalFormatting>
  <conditionalFormatting sqref="E219:M221">
    <cfRule type="containsErrors" dxfId="74" priority="130">
      <formula>ISERROR(E219)</formula>
    </cfRule>
  </conditionalFormatting>
  <conditionalFormatting sqref="E244:M245">
    <cfRule type="containsErrors" dxfId="73" priority="190">
      <formula>ISERROR(E244)</formula>
    </cfRule>
  </conditionalFormatting>
  <conditionalFormatting sqref="E164:N164">
    <cfRule type="containsErrors" dxfId="72" priority="55">
      <formula>ISERROR(E164)</formula>
    </cfRule>
  </conditionalFormatting>
  <conditionalFormatting sqref="E174:N174 E175:M175">
    <cfRule type="containsErrors" dxfId="71" priority="151">
      <formula>ISERROR(E174)</formula>
    </cfRule>
  </conditionalFormatting>
  <conditionalFormatting sqref="E182:N198">
    <cfRule type="containsErrors" dxfId="70" priority="40">
      <formula>ISERROR(E182)</formula>
    </cfRule>
  </conditionalFormatting>
  <conditionalFormatting sqref="E207:N207">
    <cfRule type="containsErrors" dxfId="69" priority="37">
      <formula>ISERROR(E207)</formula>
    </cfRule>
  </conditionalFormatting>
  <conditionalFormatting sqref="E210:N210">
    <cfRule type="containsErrors" dxfId="68" priority="34">
      <formula>ISERROR(E210)</formula>
    </cfRule>
  </conditionalFormatting>
  <conditionalFormatting sqref="E4:P5">
    <cfRule type="containsErrors" dxfId="67" priority="170">
      <formula>ISERROR(E4)</formula>
    </cfRule>
  </conditionalFormatting>
  <conditionalFormatting sqref="E11:P50">
    <cfRule type="containsErrors" dxfId="66" priority="79">
      <formula>ISERROR(E11)</formula>
    </cfRule>
  </conditionalFormatting>
  <conditionalFormatting sqref="E52:P53 E91:H91">
    <cfRule type="containsErrors" dxfId="65" priority="159">
      <formula>ISERROR(E52)</formula>
    </cfRule>
  </conditionalFormatting>
  <conditionalFormatting sqref="E55:P55 E56:N56">
    <cfRule type="containsErrors" dxfId="64" priority="166">
      <formula>ISERROR(E55)</formula>
    </cfRule>
  </conditionalFormatting>
  <conditionalFormatting sqref="E64:P66 E67:Q68 E69:P84">
    <cfRule type="containsErrors" dxfId="63" priority="74">
      <formula>ISERROR(E64)</formula>
    </cfRule>
  </conditionalFormatting>
  <conditionalFormatting sqref="E86:P90">
    <cfRule type="containsErrors" dxfId="62" priority="71">
      <formula>ISERROR(E86)</formula>
    </cfRule>
  </conditionalFormatting>
  <conditionalFormatting sqref="E97:P104 M104:P109">
    <cfRule type="containsErrors" dxfId="61" priority="67">
      <formula>ISERROR(E97)</formula>
    </cfRule>
  </conditionalFormatting>
  <conditionalFormatting sqref="E110:P112 E113:Q114 E115:P121 N147:P154 E153:M154">
    <cfRule type="containsErrors" dxfId="60" priority="183">
      <formula>ISERROR(E110)</formula>
    </cfRule>
  </conditionalFormatting>
  <conditionalFormatting sqref="E125:P145">
    <cfRule type="containsErrors" dxfId="59" priority="64">
      <formula>ISERROR(E125)</formula>
    </cfRule>
  </conditionalFormatting>
  <conditionalFormatting sqref="E155:P157 E158:Q159 E160:P163">
    <cfRule type="containsErrors" dxfId="58" priority="63">
      <formula>ISERROR(E155)</formula>
    </cfRule>
  </conditionalFormatting>
  <conditionalFormatting sqref="E246:P258 E259:Q260 E261:P264">
    <cfRule type="containsErrors" dxfId="57" priority="153">
      <formula>ISERROR(E246)</formula>
    </cfRule>
  </conditionalFormatting>
  <conditionalFormatting sqref="E266:P272">
    <cfRule type="containsErrors" dxfId="56" priority="107">
      <formula>ISERROR(E266)</formula>
    </cfRule>
  </conditionalFormatting>
  <conditionalFormatting sqref="E293:P295 E296:Q297 E298:P301">
    <cfRule type="containsErrors" dxfId="55" priority="211">
      <formula>ISERROR(E293)</formula>
    </cfRule>
  </conditionalFormatting>
  <conditionalFormatting sqref="E309:P310">
    <cfRule type="containsErrors" dxfId="54" priority="202">
      <formula>ISERROR(E309)</formula>
    </cfRule>
  </conditionalFormatting>
  <conditionalFormatting sqref="E311:Q322">
    <cfRule type="containsErrors" dxfId="53" priority="201">
      <formula>ISERROR(E311)</formula>
    </cfRule>
  </conditionalFormatting>
  <conditionalFormatting sqref="F6">
    <cfRule type="containsErrors" dxfId="52" priority="168">
      <formula>ISERROR(F6)</formula>
    </cfRule>
  </conditionalFormatting>
  <conditionalFormatting sqref="F9">
    <cfRule type="containsErrors" dxfId="51" priority="120">
      <formula>ISERROR(F9)</formula>
    </cfRule>
  </conditionalFormatting>
  <conditionalFormatting sqref="K123:P124 E147:M151">
    <cfRule type="containsErrors" dxfId="50" priority="179">
      <formula>ISERROR(E123)</formula>
    </cfRule>
  </conditionalFormatting>
  <conditionalFormatting sqref="K273:P273 K275:P276 K284:P285 M286:P286 K287:P288 E290:P291">
    <cfRule type="containsErrors" dxfId="49" priority="221">
      <formula>ISERROR(E273)</formula>
    </cfRule>
  </conditionalFormatting>
  <conditionalFormatting sqref="K278:P282">
    <cfRule type="containsErrors" dxfId="48" priority="100">
      <formula>ISERROR(K278)</formula>
    </cfRule>
  </conditionalFormatting>
  <conditionalFormatting sqref="L85:P85">
    <cfRule type="containsErrors" dxfId="47" priority="69">
      <formula>ISERROR(L85)</formula>
    </cfRule>
  </conditionalFormatting>
  <conditionalFormatting sqref="L91:P91">
    <cfRule type="containsErrors" dxfId="46" priority="160">
      <formula>ISERROR(L91)</formula>
    </cfRule>
  </conditionalFormatting>
  <conditionalFormatting sqref="M218">
    <cfRule type="containsErrors" dxfId="45" priority="136">
      <formula>ISERROR(M218)</formula>
    </cfRule>
  </conditionalFormatting>
  <conditionalFormatting sqref="M243">
    <cfRule type="containsErrors" dxfId="44" priority="188">
      <formula>ISERROR(M243)</formula>
    </cfRule>
  </conditionalFormatting>
  <conditionalFormatting sqref="M173:N173">
    <cfRule type="containsErrors" dxfId="43" priority="52">
      <formula>ISERROR(M173)</formula>
    </cfRule>
  </conditionalFormatting>
  <conditionalFormatting sqref="M92:P96">
    <cfRule type="containsErrors" dxfId="42" priority="239">
      <formula>ISERROR(M92)</formula>
    </cfRule>
  </conditionalFormatting>
  <conditionalFormatting sqref="M146:P146">
    <cfRule type="containsErrors" dxfId="41" priority="82">
      <formula>ISERROR(M146)</formula>
    </cfRule>
  </conditionalFormatting>
  <conditionalFormatting sqref="M233:P233">
    <cfRule type="containsErrors" dxfId="40" priority="23">
      <formula>ISERROR(M233)</formula>
    </cfRule>
  </conditionalFormatting>
  <conditionalFormatting sqref="M265:P265">
    <cfRule type="containsErrors" dxfId="39" priority="110">
      <formula>ISERROR(M265)</formula>
    </cfRule>
  </conditionalFormatting>
  <conditionalFormatting sqref="M274:P274">
    <cfRule type="containsErrors" dxfId="38" priority="105">
      <formula>ISERROR(M274)</formula>
    </cfRule>
  </conditionalFormatting>
  <conditionalFormatting sqref="M277:P277">
    <cfRule type="containsErrors" dxfId="37" priority="103">
      <formula>ISERROR(M277)</formula>
    </cfRule>
  </conditionalFormatting>
  <conditionalFormatting sqref="M283:P283">
    <cfRule type="containsErrors" dxfId="36" priority="98">
      <formula>ISERROR(M283)</formula>
    </cfRule>
  </conditionalFormatting>
  <conditionalFormatting sqref="M289:P289">
    <cfRule type="containsErrors" dxfId="35" priority="96">
      <formula>ISERROR(M289)</formula>
    </cfRule>
  </conditionalFormatting>
  <conditionalFormatting sqref="M292:P292">
    <cfRule type="containsErrors" dxfId="34" priority="94">
      <formula>ISERROR(M292)</formula>
    </cfRule>
  </conditionalFormatting>
  <conditionalFormatting sqref="N24">
    <cfRule type="containsBlanks" dxfId="33" priority="80">
      <formula>LEN(TRIM(N24))=0</formula>
    </cfRule>
  </conditionalFormatting>
  <conditionalFormatting sqref="N57 E58:N62">
    <cfRule type="containsErrors" dxfId="32" priority="165">
      <formula>ISERROR(E57)</formula>
    </cfRule>
  </conditionalFormatting>
  <conditionalFormatting sqref="N165:N172">
    <cfRule type="containsErrors" dxfId="31" priority="138">
      <formula>ISERROR(N165)</formula>
    </cfRule>
  </conditionalFormatting>
  <conditionalFormatting sqref="N175:N181">
    <cfRule type="containsErrors" dxfId="30" priority="140">
      <formula>ISERROR(N175)</formula>
    </cfRule>
  </conditionalFormatting>
  <conditionalFormatting sqref="N199:N206 N208:N209 N211:N221">
    <cfRule type="containsErrors" dxfId="29" priority="129">
      <formula>ISERROR(N199)</formula>
    </cfRule>
  </conditionalFormatting>
  <conditionalFormatting sqref="N229:N231 N232:P232 E234:P236 E237:Q238 E239:P242">
    <cfRule type="containsErrors" dxfId="28" priority="139">
      <formula>ISERROR(E229)</formula>
    </cfRule>
  </conditionalFormatting>
  <conditionalFormatting sqref="N243:P245">
    <cfRule type="containsErrors" dxfId="27" priority="162">
      <formula>ISERROR(N243)</formula>
    </cfRule>
  </conditionalFormatting>
  <conditionalFormatting sqref="O164:O229">
    <cfRule type="containsErrors" dxfId="26" priority="27">
      <formula>ISERROR(O164)</formula>
    </cfRule>
  </conditionalFormatting>
  <conditionalFormatting sqref="O231">
    <cfRule type="containsErrors" dxfId="25" priority="26">
      <formula>ISERROR(O231)</formula>
    </cfRule>
  </conditionalFormatting>
  <conditionalFormatting sqref="O56:P62">
    <cfRule type="containsErrors" dxfId="24" priority="242">
      <formula>ISERROR(O56)</formula>
    </cfRule>
  </conditionalFormatting>
  <conditionalFormatting sqref="P164:P231 E222:N228">
    <cfRule type="containsErrors" dxfId="23" priority="28">
      <formula>ISERROR(E164)</formula>
    </cfRule>
  </conditionalFormatting>
  <conditionalFormatting sqref="Q5:Q6 Q8:Q9 Q11:Q12 Q14:Q15 Q17:Q18 Q20:Q21 Q23:Q24 Q26:Q27 Q29:Q30 Q32:Q33 Q35:Q36 Q38:Q39 Q41:Q42 Q44:Q45 Q47:Q48 Q50:Q51 Q53:Q54 Q56:Q57 Q59:Q60">
    <cfRule type="containsErrors" dxfId="22" priority="21">
      <formula>ISERROR(Q5)</formula>
    </cfRule>
  </conditionalFormatting>
  <conditionalFormatting sqref="Q62:Q64">
    <cfRule type="containsErrors" dxfId="21" priority="22">
      <formula>ISERROR(Q62)</formula>
    </cfRule>
  </conditionalFormatting>
  <conditionalFormatting sqref="Q66">
    <cfRule type="containsErrors" dxfId="20" priority="241">
      <formula>ISERROR(Q66)</formula>
    </cfRule>
  </conditionalFormatting>
  <conditionalFormatting sqref="Q69:Q73 Q75:Q76 Q78:Q79 Q81:Q82 Q84:Q85 Q87:Q88 Q90:Q91 Q93:Q94 Q96:Q97 Q99:Q100 Q102:Q103">
    <cfRule type="containsErrors" dxfId="19" priority="19">
      <formula>ISERROR(Q69)</formula>
    </cfRule>
  </conditionalFormatting>
  <conditionalFormatting sqref="Q105:Q106">
    <cfRule type="containsErrors" dxfId="18" priority="1">
      <formula>ISERROR(Q105)</formula>
    </cfRule>
  </conditionalFormatting>
  <conditionalFormatting sqref="Q108:Q110">
    <cfRule type="containsErrors" dxfId="17" priority="20">
      <formula>ISERROR(Q108)</formula>
    </cfRule>
  </conditionalFormatting>
  <conditionalFormatting sqref="Q112 E123:J127">
    <cfRule type="containsErrors" dxfId="16" priority="182">
      <formula>ISERROR(E112)</formula>
    </cfRule>
  </conditionalFormatting>
  <conditionalFormatting sqref="Q115:Q119 Q121:Q122 Q124:Q125 Q127:Q128 Q130:Q131 Q133:Q134 Q136:Q137 Q139:Q140 Q142:Q143 Q145:Q146 Q148:Q149 Q151:Q152 Q154:Q155">
    <cfRule type="containsErrors" dxfId="15" priority="17">
      <formula>ISERROR(Q115)</formula>
    </cfRule>
  </conditionalFormatting>
  <conditionalFormatting sqref="Q157">
    <cfRule type="containsErrors" dxfId="14" priority="18">
      <formula>ISERROR(Q157)</formula>
    </cfRule>
  </conditionalFormatting>
  <conditionalFormatting sqref="Q160:Q164 Q166:Q167 Q169:Q170 Q172:Q173 Q175:Q176 Q178:Q179 Q181:Q182 Q184:Q185 Q187:Q188 Q190:Q191 Q193:Q194 Q196:Q197 Q199:Q200 Q202:Q203 Q205:Q206 Q208:Q209 Q211:Q212 Q214:Q215 Q217:Q218 Q220:Q221 Q223:Q224 Q226:Q227 Q229:Q230">
    <cfRule type="containsErrors" dxfId="13" priority="15">
      <formula>ISERROR(Q160)</formula>
    </cfRule>
  </conditionalFormatting>
  <conditionalFormatting sqref="Q232:Q234">
    <cfRule type="containsErrors" dxfId="12" priority="16">
      <formula>ISERROR(Q232)</formula>
    </cfRule>
  </conditionalFormatting>
  <conditionalFormatting sqref="Q236">
    <cfRule type="containsErrors" dxfId="11" priority="148">
      <formula>ISERROR(Q236)</formula>
    </cfRule>
  </conditionalFormatting>
  <conditionalFormatting sqref="Q239:Q243 Q245:Q246 Q248:Q249 Q251:Q252">
    <cfRule type="containsErrors" dxfId="10" priority="13">
      <formula>ISERROR(Q239)</formula>
    </cfRule>
  </conditionalFormatting>
  <conditionalFormatting sqref="Q254:Q256 Q258">
    <cfRule type="containsErrors" dxfId="9" priority="12">
      <formula>ISERROR(Q254)</formula>
    </cfRule>
  </conditionalFormatting>
  <conditionalFormatting sqref="Q261:Q265">
    <cfRule type="containsErrors" dxfId="8" priority="10">
      <formula>ISERROR(Q261)</formula>
    </cfRule>
  </conditionalFormatting>
  <conditionalFormatting sqref="Q267:Q268 Q270:Q271 Q273:Q274 Q276:Q277 Q279:Q280 Q282:Q283 Q285:Q286 Q288:Q289">
    <cfRule type="containsErrors" dxfId="7" priority="8">
      <formula>ISERROR(Q267)</formula>
    </cfRule>
  </conditionalFormatting>
  <conditionalFormatting sqref="Q291:Q295">
    <cfRule type="containsErrors" dxfId="6" priority="9">
      <formula>ISERROR(Q291)</formula>
    </cfRule>
  </conditionalFormatting>
  <conditionalFormatting sqref="Q298:Q302">
    <cfRule type="containsErrors" dxfId="5" priority="6">
      <formula>ISERROR(Q298)</formula>
    </cfRule>
  </conditionalFormatting>
  <conditionalFormatting sqref="Q304:Q305">
    <cfRule type="containsErrors" dxfId="4" priority="4">
      <formula>ISERROR(Q304)</formula>
    </cfRule>
  </conditionalFormatting>
  <conditionalFormatting sqref="Q307:Q308">
    <cfRule type="containsErrors" dxfId="3" priority="2">
      <formula>ISERROR(Q307)</formula>
    </cfRule>
  </conditionalFormatting>
  <conditionalFormatting sqref="Q310">
    <cfRule type="containsErrors" dxfId="2" priority="3">
      <formula>ISERROR(Q310)</formula>
    </cfRule>
  </conditionalFormatting>
  <conditionalFormatting sqref="S66">
    <cfRule type="containsErrors" dxfId="1" priority="244">
      <formula>ISERROR(S66)</formula>
    </cfRule>
  </conditionalFormatting>
  <conditionalFormatting sqref="S318">
    <cfRule type="containsErrors" dxfId="0" priority="216">
      <formula>ISERROR(S318)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3b816ca026d8ecfeb0fe2e320a550a8b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c999073047fa2820f9e078115390a63c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4E1F93-DD5C-467B-BD4E-9F8AE8148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Snapshot</vt:lpstr>
      <vt:lpstr>25-26 Budget-Actual Invoiced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2025-08-11T04:50:44Z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