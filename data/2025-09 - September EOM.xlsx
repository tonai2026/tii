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AppData\Local\Microsoft\Windows\INetCache\Content.Outlook\96NM44EJ\"/>
    </mc:Choice>
  </mc:AlternateContent>
  <xr:revisionPtr revIDLastSave="0" documentId="13_ncr:1_{1789F0E4-EF51-4E13-9D5A-3497165B2F41}" xr6:coauthVersionLast="47" xr6:coauthVersionMax="47" xr10:uidLastSave="{00000000-0000-0000-0000-000000000000}"/>
  <bookViews>
    <workbookView xWindow="29700" yWindow="1620" windowWidth="19215" windowHeight="10335" tabRatio="708" xr2:uid="{438BEA36-29CC-4A34-9FBB-44E23B3CDB91}"/>
  </bookViews>
  <sheets>
    <sheet name="Snapshot" sheetId="40" r:id="rId1"/>
    <sheet name="25-26 Budget-Actual Invoiced" sheetId="38" r:id="rId2"/>
    <sheet name="Working" sheetId="41" state="hidden" r:id="rId3"/>
  </sheets>
  <definedNames>
    <definedName name="_xlnm._FilterDatabase" localSheetId="1" hidden="1">'25-26 Budget-Actual Invoiced'!$A$2:$P$226</definedName>
    <definedName name="_xlnm._FilterDatabase" localSheetId="2" hidden="1">Working!$A$1:$B$88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1" i="38" l="1"/>
  <c r="Q39" i="38"/>
  <c r="Q37" i="38"/>
  <c r="Q35" i="38"/>
  <c r="Q33" i="38"/>
  <c r="Q31" i="38"/>
  <c r="Q29" i="38"/>
  <c r="Q27" i="38"/>
  <c r="Q25" i="38"/>
  <c r="Q23" i="38"/>
  <c r="Q21" i="38"/>
  <c r="Q19" i="38"/>
  <c r="Q15" i="38"/>
  <c r="Q13" i="38"/>
  <c r="Q11" i="38"/>
  <c r="Q9" i="38"/>
  <c r="Q7" i="38"/>
  <c r="Q5" i="38"/>
  <c r="F12" i="40"/>
  <c r="F11" i="40" s="1"/>
  <c r="E15" i="40"/>
  <c r="E16" i="40"/>
  <c r="Q17" i="38"/>
  <c r="D15" i="40"/>
  <c r="D16" i="40"/>
  <c r="D17" i="40" s="1"/>
  <c r="C11" i="40"/>
  <c r="Q4" i="38"/>
  <c r="Q6" i="38"/>
  <c r="Q8" i="38"/>
  <c r="Q10" i="38"/>
  <c r="Q12" i="38"/>
  <c r="Q14" i="38"/>
  <c r="Q16" i="38"/>
  <c r="Q18" i="38"/>
  <c r="Q20" i="38"/>
  <c r="Q22" i="38"/>
  <c r="Q24" i="38"/>
  <c r="Q26" i="38"/>
  <c r="Q28" i="38"/>
  <c r="Q30" i="38"/>
  <c r="Q32" i="38"/>
  <c r="Q34" i="38"/>
  <c r="Q36" i="38"/>
  <c r="Q38" i="38"/>
  <c r="Q40" i="38"/>
  <c r="Q42" i="38"/>
  <c r="Q44" i="38"/>
  <c r="Q45" i="38"/>
  <c r="H46" i="38"/>
  <c r="I46" i="38"/>
  <c r="J46" i="38"/>
  <c r="K46" i="38"/>
  <c r="L46" i="38"/>
  <c r="M46" i="38"/>
  <c r="N46" i="38"/>
  <c r="O46" i="38"/>
  <c r="P46" i="38"/>
  <c r="G47" i="38"/>
  <c r="G80" i="38"/>
  <c r="G112" i="38"/>
  <c r="G167" i="38"/>
  <c r="G184" i="38"/>
  <c r="G211" i="38"/>
  <c r="G222" i="38"/>
  <c r="G223" i="38"/>
  <c r="H210" i="38"/>
  <c r="I210" i="38"/>
  <c r="J210" i="38"/>
  <c r="K210" i="38"/>
  <c r="L210" i="38"/>
  <c r="M210" i="38"/>
  <c r="N210" i="38"/>
  <c r="O210" i="38"/>
  <c r="P210" i="38"/>
  <c r="E210" i="38"/>
  <c r="H79" i="38"/>
  <c r="I79" i="38"/>
  <c r="J79" i="38"/>
  <c r="K79" i="38"/>
  <c r="L79" i="38"/>
  <c r="M79" i="38"/>
  <c r="N79" i="38"/>
  <c r="O79" i="38"/>
  <c r="P79" i="38"/>
  <c r="E79" i="38"/>
  <c r="F7" i="40" l="1"/>
  <c r="F9" i="40"/>
  <c r="E17" i="40"/>
  <c r="G210" i="38"/>
  <c r="G212" i="38" s="1"/>
  <c r="G166" i="38"/>
  <c r="G169" i="38" s="1"/>
  <c r="G170" i="38" s="1"/>
  <c r="G46" i="38"/>
  <c r="G48" i="38" s="1"/>
  <c r="G111" i="38"/>
  <c r="G113" i="38" s="1"/>
  <c r="G183" i="38"/>
  <c r="G186" i="38" s="1"/>
  <c r="G187" i="38" s="1"/>
  <c r="G79" i="38"/>
  <c r="G82" i="38" s="1"/>
  <c r="G83" i="38" s="1"/>
  <c r="Q43" i="38"/>
  <c r="G224" i="38"/>
  <c r="G230" i="38"/>
  <c r="C16" i="40"/>
  <c r="C15" i="40"/>
  <c r="C7" i="40"/>
  <c r="C9" i="40"/>
  <c r="N16" i="40"/>
  <c r="N17" i="40" s="1"/>
  <c r="M16" i="40"/>
  <c r="M17" i="40" s="1"/>
  <c r="L16" i="40"/>
  <c r="L17" i="40" s="1"/>
  <c r="K16" i="40"/>
  <c r="K17" i="40" s="1"/>
  <c r="J16" i="40"/>
  <c r="J17" i="40" s="1"/>
  <c r="I16" i="40"/>
  <c r="I17" i="40" s="1"/>
  <c r="H16" i="40"/>
  <c r="H17" i="40" s="1"/>
  <c r="G16" i="40"/>
  <c r="G17" i="40" s="1"/>
  <c r="F16" i="40"/>
  <c r="F17" i="40" s="1"/>
  <c r="N15" i="40"/>
  <c r="M15" i="40"/>
  <c r="L15" i="40"/>
  <c r="K15" i="40"/>
  <c r="J15" i="40"/>
  <c r="I15" i="40"/>
  <c r="H15" i="40"/>
  <c r="G15" i="40"/>
  <c r="F15" i="40"/>
  <c r="G49" i="38" l="1"/>
  <c r="G50" i="38" s="1"/>
  <c r="G229" i="38"/>
  <c r="G168" i="38"/>
  <c r="G213" i="38"/>
  <c r="G214" i="38" s="1"/>
  <c r="G114" i="38"/>
  <c r="G115" i="38" s="1"/>
  <c r="G81" i="38"/>
  <c r="G185" i="38"/>
  <c r="G231" i="38" l="1"/>
  <c r="G232" i="38"/>
  <c r="G233" i="38" s="1"/>
  <c r="D33" i="40"/>
  <c r="E33" i="40"/>
  <c r="F33" i="40"/>
  <c r="G33" i="40"/>
  <c r="H33" i="40"/>
  <c r="I33" i="40"/>
  <c r="J33" i="40"/>
  <c r="K33" i="40"/>
  <c r="L33" i="40"/>
  <c r="M33" i="40"/>
  <c r="N33" i="40"/>
  <c r="D34" i="40"/>
  <c r="E34" i="40"/>
  <c r="F34" i="40"/>
  <c r="G34" i="40"/>
  <c r="H34" i="40"/>
  <c r="I34" i="40"/>
  <c r="J34" i="40"/>
  <c r="K34" i="40"/>
  <c r="L34" i="40"/>
  <c r="M34" i="40"/>
  <c r="N34" i="40"/>
  <c r="C34" i="40"/>
  <c r="C33" i="40"/>
  <c r="O32" i="40"/>
  <c r="O31" i="40"/>
  <c r="O30" i="40"/>
  <c r="O29" i="40"/>
  <c r="N11" i="40"/>
  <c r="M11" i="40"/>
  <c r="L11" i="40"/>
  <c r="K11" i="40"/>
  <c r="J11" i="40"/>
  <c r="I11" i="40"/>
  <c r="H11" i="40"/>
  <c r="G11" i="40"/>
  <c r="O10" i="40"/>
  <c r="O11" i="40" s="1"/>
  <c r="O8" i="40"/>
  <c r="N7" i="40"/>
  <c r="M7" i="40"/>
  <c r="L7" i="40"/>
  <c r="K7" i="40"/>
  <c r="J7" i="40"/>
  <c r="I7" i="40"/>
  <c r="H7" i="40"/>
  <c r="G7" i="40"/>
  <c r="O6" i="40"/>
  <c r="H80" i="38"/>
  <c r="I80" i="38"/>
  <c r="J80" i="38"/>
  <c r="K80" i="38"/>
  <c r="L80" i="38"/>
  <c r="M80" i="38"/>
  <c r="N80" i="38"/>
  <c r="O80" i="38"/>
  <c r="P80" i="38"/>
  <c r="E80" i="38"/>
  <c r="Q73" i="38"/>
  <c r="Q72" i="38"/>
  <c r="Q209" i="38"/>
  <c r="H112" i="38"/>
  <c r="I112" i="38"/>
  <c r="J112" i="38"/>
  <c r="K112" i="38"/>
  <c r="L112" i="38"/>
  <c r="M112" i="38"/>
  <c r="N112" i="38"/>
  <c r="O112" i="38"/>
  <c r="P112" i="38"/>
  <c r="H47" i="38"/>
  <c r="I47" i="38"/>
  <c r="J47" i="38"/>
  <c r="K47" i="38"/>
  <c r="L47" i="38"/>
  <c r="M47" i="38"/>
  <c r="N47" i="38"/>
  <c r="O47" i="38"/>
  <c r="P47" i="38"/>
  <c r="O14" i="40"/>
  <c r="O20" i="40"/>
  <c r="O21" i="40"/>
  <c r="O22" i="40"/>
  <c r="O23" i="40"/>
  <c r="O24" i="40"/>
  <c r="O25" i="40"/>
  <c r="O26" i="40"/>
  <c r="O27" i="40"/>
  <c r="O28" i="40"/>
  <c r="O19" i="40"/>
  <c r="O7" i="40" l="1"/>
  <c r="O15" i="40"/>
  <c r="O34" i="40"/>
  <c r="O33" i="40"/>
  <c r="R72" i="38"/>
  <c r="Q57" i="38"/>
  <c r="Q56" i="38"/>
  <c r="H184" i="38"/>
  <c r="I184" i="38"/>
  <c r="J184" i="38"/>
  <c r="K184" i="38"/>
  <c r="L184" i="38"/>
  <c r="M184" i="38"/>
  <c r="N184" i="38"/>
  <c r="O184" i="38"/>
  <c r="P184" i="38"/>
  <c r="E184" i="38"/>
  <c r="C17" i="40" l="1"/>
  <c r="O16" i="40"/>
  <c r="O17" i="40" s="1"/>
  <c r="R56" i="38"/>
  <c r="H222" i="38" l="1"/>
  <c r="I222" i="38"/>
  <c r="J222" i="38"/>
  <c r="K222" i="38"/>
  <c r="L222" i="38"/>
  <c r="M222" i="38"/>
  <c r="N222" i="38"/>
  <c r="O222" i="38"/>
  <c r="P222" i="38"/>
  <c r="H223" i="38"/>
  <c r="I223" i="38"/>
  <c r="J223" i="38"/>
  <c r="K223" i="38"/>
  <c r="L223" i="38"/>
  <c r="M223" i="38"/>
  <c r="N223" i="38"/>
  <c r="O223" i="38"/>
  <c r="P223" i="38"/>
  <c r="E222" i="38"/>
  <c r="E223" i="38"/>
  <c r="E211" i="38"/>
  <c r="H211" i="38"/>
  <c r="I211" i="38"/>
  <c r="J211" i="38"/>
  <c r="K211" i="38"/>
  <c r="L211" i="38"/>
  <c r="M211" i="38"/>
  <c r="N211" i="38"/>
  <c r="O211" i="38"/>
  <c r="P211" i="38"/>
  <c r="H183" i="38"/>
  <c r="I183" i="38"/>
  <c r="J183" i="38"/>
  <c r="K183" i="38"/>
  <c r="L183" i="38"/>
  <c r="M183" i="38"/>
  <c r="N183" i="38"/>
  <c r="O183" i="38"/>
  <c r="P183" i="38"/>
  <c r="H166" i="38"/>
  <c r="I166" i="38"/>
  <c r="J166" i="38"/>
  <c r="K166" i="38"/>
  <c r="L166" i="38"/>
  <c r="M166" i="38"/>
  <c r="N166" i="38"/>
  <c r="O166" i="38"/>
  <c r="P166" i="38"/>
  <c r="H167" i="38"/>
  <c r="I167" i="38"/>
  <c r="J167" i="38"/>
  <c r="K167" i="38"/>
  <c r="L167" i="38"/>
  <c r="M167" i="38"/>
  <c r="N167" i="38"/>
  <c r="O167" i="38"/>
  <c r="P167" i="38"/>
  <c r="E166" i="38"/>
  <c r="E167" i="38"/>
  <c r="H111" i="38"/>
  <c r="I111" i="38"/>
  <c r="J111" i="38"/>
  <c r="K111" i="38"/>
  <c r="L111" i="38"/>
  <c r="M111" i="38"/>
  <c r="N111" i="38"/>
  <c r="O111" i="38"/>
  <c r="P111" i="38"/>
  <c r="E111" i="38"/>
  <c r="E112" i="38"/>
  <c r="E47" i="38"/>
  <c r="E46" i="38"/>
  <c r="Q221" i="38"/>
  <c r="Q220" i="38"/>
  <c r="Q219" i="38"/>
  <c r="Q218" i="38"/>
  <c r="Q217" i="38"/>
  <c r="Q216" i="38"/>
  <c r="Q208" i="38"/>
  <c r="Q207" i="38"/>
  <c r="Q206" i="38"/>
  <c r="Q205" i="38"/>
  <c r="Q204" i="38"/>
  <c r="Q203" i="38"/>
  <c r="Q202" i="38"/>
  <c r="Q201" i="38"/>
  <c r="Q200" i="38"/>
  <c r="Q199" i="38"/>
  <c r="Q198" i="38"/>
  <c r="Q197" i="38"/>
  <c r="Q196" i="38"/>
  <c r="Q195" i="38"/>
  <c r="Q194" i="38"/>
  <c r="Q193" i="38"/>
  <c r="Q192" i="38"/>
  <c r="Q191" i="38"/>
  <c r="Q190" i="38"/>
  <c r="Q189" i="38"/>
  <c r="Q182" i="38"/>
  <c r="Q179" i="38"/>
  <c r="Q178" i="38"/>
  <c r="Q177" i="38"/>
  <c r="Q176" i="38"/>
  <c r="Q175" i="38"/>
  <c r="Q174" i="38"/>
  <c r="Q173" i="38"/>
  <c r="Q172" i="38"/>
  <c r="Q165" i="38"/>
  <c r="Q164" i="38"/>
  <c r="Q163" i="38"/>
  <c r="Q162" i="38"/>
  <c r="Q161" i="38"/>
  <c r="Q160" i="38"/>
  <c r="Q159" i="38"/>
  <c r="Q158" i="38"/>
  <c r="Q157" i="38"/>
  <c r="Q156" i="38"/>
  <c r="Q155" i="38"/>
  <c r="Q154" i="38"/>
  <c r="Q153" i="38"/>
  <c r="Q152" i="38"/>
  <c r="Q151" i="38"/>
  <c r="Q150" i="38"/>
  <c r="Q149" i="38"/>
  <c r="Q148" i="38"/>
  <c r="Q147" i="38"/>
  <c r="Q146" i="38"/>
  <c r="Q145" i="38"/>
  <c r="Q144" i="38"/>
  <c r="Q143" i="38"/>
  <c r="Q142" i="38"/>
  <c r="Q141" i="38"/>
  <c r="Q140" i="38"/>
  <c r="Q139" i="38"/>
  <c r="Q138" i="38"/>
  <c r="Q137" i="38"/>
  <c r="Q136" i="38"/>
  <c r="Q135" i="38"/>
  <c r="Q134" i="38"/>
  <c r="Q133" i="38"/>
  <c r="Q132" i="38"/>
  <c r="Q131" i="38"/>
  <c r="Q130" i="38"/>
  <c r="Q129" i="38"/>
  <c r="Q128" i="38"/>
  <c r="Q127" i="38"/>
  <c r="Q126" i="38"/>
  <c r="Q125" i="38"/>
  <c r="Q124" i="38"/>
  <c r="Q123" i="38"/>
  <c r="Q122" i="38"/>
  <c r="Q121" i="38"/>
  <c r="Q120" i="38"/>
  <c r="Q119" i="38"/>
  <c r="Q118" i="38"/>
  <c r="Q117" i="38"/>
  <c r="Q110" i="38"/>
  <c r="Q109" i="38"/>
  <c r="Q108" i="38"/>
  <c r="Q107" i="38"/>
  <c r="Q106" i="38"/>
  <c r="Q105" i="38"/>
  <c r="Q104" i="38"/>
  <c r="Q103" i="38"/>
  <c r="Q102" i="38"/>
  <c r="Q101" i="38"/>
  <c r="Q100" i="38"/>
  <c r="Q99" i="38"/>
  <c r="Q98" i="38"/>
  <c r="Q97" i="38"/>
  <c r="Q96" i="38"/>
  <c r="Q95" i="38"/>
  <c r="Q94" i="38"/>
  <c r="Q93" i="38"/>
  <c r="Q92" i="38"/>
  <c r="Q91" i="38"/>
  <c r="Q90" i="38"/>
  <c r="Q89" i="38"/>
  <c r="Q88" i="38"/>
  <c r="Q87" i="38"/>
  <c r="Q86" i="38"/>
  <c r="Q85" i="38"/>
  <c r="Q78" i="38"/>
  <c r="Q77" i="38"/>
  <c r="Q76" i="38"/>
  <c r="Q75" i="38"/>
  <c r="Q74" i="38"/>
  <c r="Q71" i="38"/>
  <c r="Q70" i="38"/>
  <c r="Q69" i="38"/>
  <c r="Q68" i="38"/>
  <c r="Q67" i="38"/>
  <c r="Q66" i="38"/>
  <c r="Q65" i="38"/>
  <c r="Q64" i="38"/>
  <c r="Q63" i="38"/>
  <c r="Q62" i="38"/>
  <c r="Q61" i="38"/>
  <c r="Q60" i="38"/>
  <c r="Q59" i="38"/>
  <c r="Q58" i="38"/>
  <c r="Q55" i="38"/>
  <c r="Q54" i="38"/>
  <c r="Q53" i="38"/>
  <c r="Q52" i="38"/>
  <c r="Q3" i="38"/>
  <c r="Q46" i="38" s="1"/>
  <c r="Q79" i="38" l="1"/>
  <c r="Q210" i="38"/>
  <c r="E230" i="38"/>
  <c r="Q80" i="38"/>
  <c r="Q211" i="38"/>
  <c r="Q223" i="38"/>
  <c r="Q184" i="38"/>
  <c r="N230" i="38"/>
  <c r="Q222" i="38"/>
  <c r="K230" i="38"/>
  <c r="M230" i="38"/>
  <c r="L230" i="38"/>
  <c r="O229" i="38"/>
  <c r="M13" i="40" s="1"/>
  <c r="N229" i="38"/>
  <c r="L13" i="40" s="1"/>
  <c r="P229" i="38"/>
  <c r="N13" i="40" s="1"/>
  <c r="M229" i="38"/>
  <c r="K13" i="40" s="1"/>
  <c r="O230" i="38"/>
  <c r="K229" i="38"/>
  <c r="I13" i="40" s="1"/>
  <c r="J229" i="38"/>
  <c r="H13" i="40" s="1"/>
  <c r="I229" i="38"/>
  <c r="G13" i="40" s="1"/>
  <c r="H229" i="38"/>
  <c r="L229" i="38"/>
  <c r="J13" i="40" s="1"/>
  <c r="P230" i="38"/>
  <c r="J230" i="38"/>
  <c r="I230" i="38"/>
  <c r="H230" i="38"/>
  <c r="Q47" i="38"/>
  <c r="Q167" i="38"/>
  <c r="Q166" i="38"/>
  <c r="Q111" i="38"/>
  <c r="Q112" i="38"/>
  <c r="E213" i="38"/>
  <c r="E81" i="38"/>
  <c r="R60" i="38"/>
  <c r="Q230" i="38" l="1"/>
  <c r="S73" i="38" l="1"/>
  <c r="S57" i="38"/>
  <c r="S55" i="38"/>
  <c r="S47" i="38"/>
  <c r="S223" i="38"/>
  <c r="S80" i="38"/>
  <c r="S112" i="38"/>
  <c r="S167" i="38"/>
  <c r="S184" i="38"/>
  <c r="S211" i="38"/>
  <c r="R29" i="38"/>
  <c r="R37" i="38"/>
  <c r="R25" i="38" l="1"/>
  <c r="R7" i="38"/>
  <c r="R121" i="38" l="1"/>
  <c r="H48" i="38" l="1"/>
  <c r="E49" i="38"/>
  <c r="E50" i="38" s="1"/>
  <c r="I48" i="38"/>
  <c r="H49" i="38"/>
  <c r="H50" i="38" s="1"/>
  <c r="M49" i="38"/>
  <c r="N49" i="38"/>
  <c r="L49" i="38"/>
  <c r="J48" i="38"/>
  <c r="K48" i="38"/>
  <c r="K49" i="38"/>
  <c r="K50" i="38" s="1"/>
  <c r="J49" i="38"/>
  <c r="J50" i="38" s="1"/>
  <c r="I49" i="38"/>
  <c r="I50" i="38" s="1"/>
  <c r="E48" i="38"/>
  <c r="R203" i="38" l="1"/>
  <c r="R54" i="38"/>
  <c r="P226" i="38"/>
  <c r="O226" i="38"/>
  <c r="M226" i="38"/>
  <c r="L226" i="38"/>
  <c r="K226" i="38"/>
  <c r="I226" i="38"/>
  <c r="H226" i="38"/>
  <c r="R161" i="38"/>
  <c r="R149" i="38"/>
  <c r="R143" i="38"/>
  <c r="R137" i="38"/>
  <c r="R131" i="38"/>
  <c r="P82" i="38"/>
  <c r="P83" i="38" s="1"/>
  <c r="N82" i="38"/>
  <c r="N83" i="38" s="1"/>
  <c r="M81" i="38"/>
  <c r="K81" i="38"/>
  <c r="J82" i="38"/>
  <c r="J83" i="38" s="1"/>
  <c r="I82" i="38"/>
  <c r="I83" i="38" s="1"/>
  <c r="H81" i="38"/>
  <c r="O49" i="38"/>
  <c r="R64" i="38" l="1"/>
  <c r="R176" i="38"/>
  <c r="R68" i="38"/>
  <c r="R76" i="38"/>
  <c r="I212" i="38"/>
  <c r="R218" i="38"/>
  <c r="R178" i="38"/>
  <c r="N213" i="38"/>
  <c r="N214" i="38" s="1"/>
  <c r="J185" i="38"/>
  <c r="I185" i="38"/>
  <c r="N185" i="38"/>
  <c r="H185" i="38"/>
  <c r="R174" i="38"/>
  <c r="K185" i="38"/>
  <c r="L185" i="38"/>
  <c r="M185" i="38"/>
  <c r="R141" i="38"/>
  <c r="R35" i="38"/>
  <c r="R9" i="38"/>
  <c r="R41" i="38"/>
  <c r="M169" i="38"/>
  <c r="M170" i="38" s="1"/>
  <c r="J169" i="38"/>
  <c r="J170" i="38" s="1"/>
  <c r="R129" i="38"/>
  <c r="R125" i="38"/>
  <c r="O169" i="38"/>
  <c r="O170" i="38" s="1"/>
  <c r="P168" i="38"/>
  <c r="E169" i="38"/>
  <c r="E170" i="38" s="1"/>
  <c r="R117" i="38"/>
  <c r="R220" i="38"/>
  <c r="P212" i="38"/>
  <c r="R199" i="38"/>
  <c r="E214" i="38"/>
  <c r="R195" i="38"/>
  <c r="H213" i="38"/>
  <c r="H214" i="38" s="1"/>
  <c r="R189" i="38"/>
  <c r="R153" i="38"/>
  <c r="K168" i="38"/>
  <c r="R155" i="38"/>
  <c r="R15" i="38"/>
  <c r="R31" i="38"/>
  <c r="L169" i="38"/>
  <c r="L170" i="38" s="1"/>
  <c r="R13" i="38"/>
  <c r="R27" i="38"/>
  <c r="P49" i="38"/>
  <c r="R21" i="38"/>
  <c r="R5" i="38"/>
  <c r="R19" i="38"/>
  <c r="O212" i="38"/>
  <c r="J81" i="38"/>
  <c r="R70" i="38"/>
  <c r="K169" i="38"/>
  <c r="K170" i="38" s="1"/>
  <c r="R91" i="38"/>
  <c r="R103" i="38"/>
  <c r="R123" i="38"/>
  <c r="R135" i="38"/>
  <c r="R147" i="38"/>
  <c r="R159" i="38"/>
  <c r="R11" i="38"/>
  <c r="R23" i="38"/>
  <c r="R39" i="38"/>
  <c r="R101" i="38"/>
  <c r="R119" i="38"/>
  <c r="R133" i="38"/>
  <c r="R145" i="38"/>
  <c r="R157" i="38"/>
  <c r="R191" i="38"/>
  <c r="R205" i="38"/>
  <c r="R58" i="38"/>
  <c r="R74" i="38"/>
  <c r="R207" i="38"/>
  <c r="P185" i="38"/>
  <c r="P169" i="38"/>
  <c r="P170" i="38" s="1"/>
  <c r="O186" i="38"/>
  <c r="O187" i="38" s="1"/>
  <c r="R172" i="38"/>
  <c r="P114" i="38"/>
  <c r="P115" i="38" s="1"/>
  <c r="R62" i="38"/>
  <c r="R89" i="38"/>
  <c r="H114" i="38"/>
  <c r="H115" i="38" s="1"/>
  <c r="I114" i="38"/>
  <c r="I115" i="38" s="1"/>
  <c r="M114" i="38"/>
  <c r="M115" i="38" s="1"/>
  <c r="R43" i="38"/>
  <c r="N113" i="38"/>
  <c r="H212" i="38"/>
  <c r="J186" i="38"/>
  <c r="J187" i="38" s="1"/>
  <c r="R66" i="38"/>
  <c r="L168" i="38"/>
  <c r="R197" i="38"/>
  <c r="J113" i="38"/>
  <c r="H113" i="38"/>
  <c r="R97" i="38"/>
  <c r="O185" i="38"/>
  <c r="P186" i="38"/>
  <c r="P187" i="38" s="1"/>
  <c r="R99" i="38"/>
  <c r="E212" i="38"/>
  <c r="K82" i="38"/>
  <c r="K83" i="38" s="1"/>
  <c r="J114" i="38"/>
  <c r="J115" i="38" s="1"/>
  <c r="N114" i="38"/>
  <c r="N115" i="38" s="1"/>
  <c r="O168" i="38"/>
  <c r="O213" i="38"/>
  <c r="O214" i="38" s="1"/>
  <c r="L81" i="38"/>
  <c r="R3" i="38"/>
  <c r="R17" i="38"/>
  <c r="R33" i="38"/>
  <c r="R52" i="38"/>
  <c r="M82" i="38"/>
  <c r="M83" i="38" s="1"/>
  <c r="E168" i="38"/>
  <c r="E114" i="38"/>
  <c r="E115" i="38" s="1"/>
  <c r="E82" i="38"/>
  <c r="E83" i="38" s="1"/>
  <c r="P113" i="38"/>
  <c r="R105" i="38"/>
  <c r="L186" i="38"/>
  <c r="L187" i="38" s="1"/>
  <c r="R85" i="38"/>
  <c r="N186" i="38"/>
  <c r="N187" i="38" s="1"/>
  <c r="H82" i="38"/>
  <c r="H83" i="38" s="1"/>
  <c r="I81" i="38"/>
  <c r="R93" i="38"/>
  <c r="R95" i="38"/>
  <c r="R107" i="38"/>
  <c r="I113" i="38"/>
  <c r="R127" i="38"/>
  <c r="R139" i="38"/>
  <c r="R151" i="38"/>
  <c r="N169" i="38"/>
  <c r="N170" i="38" s="1"/>
  <c r="R201" i="38"/>
  <c r="K186" i="38"/>
  <c r="K187" i="38" s="1"/>
  <c r="M186" i="38"/>
  <c r="M187" i="38" s="1"/>
  <c r="L82" i="38"/>
  <c r="L83" i="38" s="1"/>
  <c r="R87" i="38"/>
  <c r="K113" i="38"/>
  <c r="K114" i="38"/>
  <c r="K115" i="38" s="1"/>
  <c r="H168" i="38"/>
  <c r="H169" i="38"/>
  <c r="H170" i="38" s="1"/>
  <c r="I168" i="38"/>
  <c r="I169" i="38"/>
  <c r="I170" i="38" s="1"/>
  <c r="J213" i="38"/>
  <c r="J214" i="38" s="1"/>
  <c r="J212" i="38"/>
  <c r="K212" i="38"/>
  <c r="R193" i="38"/>
  <c r="I186" i="38"/>
  <c r="I187" i="38" s="1"/>
  <c r="L113" i="38"/>
  <c r="L114" i="38"/>
  <c r="L115" i="38" s="1"/>
  <c r="K213" i="38"/>
  <c r="K214" i="38" s="1"/>
  <c r="M213" i="38"/>
  <c r="M214" i="38" s="1"/>
  <c r="M212" i="38"/>
  <c r="N168" i="38"/>
  <c r="N81" i="38"/>
  <c r="O82" i="38"/>
  <c r="O83" i="38" s="1"/>
  <c r="O81" i="38"/>
  <c r="O114" i="38"/>
  <c r="O115" i="38" s="1"/>
  <c r="H186" i="38"/>
  <c r="H187" i="38" s="1"/>
  <c r="L212" i="38"/>
  <c r="L213" i="38"/>
  <c r="L214" i="38" s="1"/>
  <c r="E113" i="38"/>
  <c r="R216" i="38"/>
  <c r="O113" i="38"/>
  <c r="R109" i="38"/>
  <c r="I213" i="38"/>
  <c r="I214" i="38" s="1"/>
  <c r="J226" i="38"/>
  <c r="E224" i="38"/>
  <c r="M113" i="38"/>
  <c r="J168" i="38"/>
  <c r="N212" i="38"/>
  <c r="N226" i="38"/>
  <c r="P81" i="38"/>
  <c r="E225" i="38"/>
  <c r="E226" i="38" s="1"/>
  <c r="M168" i="38"/>
  <c r="P213" i="38"/>
  <c r="P214" i="38" s="1"/>
  <c r="Q213" i="38" l="1"/>
  <c r="Q214" i="38" s="1"/>
  <c r="R210" i="38"/>
  <c r="R111" i="38"/>
  <c r="Q224" i="38"/>
  <c r="Q212" i="38"/>
  <c r="R222" i="38"/>
  <c r="Q225" i="38"/>
  <c r="Q226" i="38" s="1"/>
  <c r="Q114" i="38"/>
  <c r="Q115" i="38" s="1"/>
  <c r="Q113" i="38"/>
  <c r="S61" i="38"/>
  <c r="N231" i="38"/>
  <c r="N232" i="38"/>
  <c r="N233" i="38" s="1"/>
  <c r="H232" i="38"/>
  <c r="H233" i="38" s="1"/>
  <c r="H231" i="38"/>
  <c r="I232" i="38"/>
  <c r="I233" i="38" s="1"/>
  <c r="I231" i="38"/>
  <c r="Q81" i="38"/>
  <c r="R166" i="38"/>
  <c r="Q169" i="38"/>
  <c r="Q170" i="38" s="1"/>
  <c r="Q168" i="38"/>
  <c r="M232" i="38"/>
  <c r="M233" i="38" s="1"/>
  <c r="M231" i="38"/>
  <c r="R79" i="38"/>
  <c r="Q82" i="38"/>
  <c r="Q83" i="38" s="1"/>
  <c r="R46" i="38"/>
  <c r="Q49" i="38"/>
  <c r="Q50" i="38" s="1"/>
  <c r="Q48" i="38"/>
  <c r="L232" i="38"/>
  <c r="L233" i="38" s="1"/>
  <c r="L231" i="38"/>
  <c r="J232" i="38"/>
  <c r="J233" i="38" s="1"/>
  <c r="J231" i="38"/>
  <c r="P232" i="38"/>
  <c r="P233" i="38" s="1"/>
  <c r="P231" i="38"/>
  <c r="O232" i="38"/>
  <c r="O233" i="38" s="1"/>
  <c r="O231" i="38"/>
  <c r="K231" i="38"/>
  <c r="K232" i="38"/>
  <c r="K233" i="38" s="1"/>
  <c r="S30" i="38" l="1"/>
  <c r="S26" i="38"/>
  <c r="S38" i="38"/>
  <c r="S122" i="38"/>
  <c r="S8" i="38"/>
  <c r="S126" i="38"/>
  <c r="S204" i="38"/>
  <c r="S71" i="38"/>
  <c r="S108" i="38"/>
  <c r="S219" i="38"/>
  <c r="S96" i="38"/>
  <c r="S75" i="38"/>
  <c r="S206" i="38"/>
  <c r="S94" i="38"/>
  <c r="S10" i="38"/>
  <c r="S100" i="38"/>
  <c r="S156" i="38"/>
  <c r="S192" i="38"/>
  <c r="S14" i="38"/>
  <c r="S198" i="38"/>
  <c r="S160" i="38"/>
  <c r="S102" i="38"/>
  <c r="S221" i="38"/>
  <c r="S34" i="38"/>
  <c r="S152" i="38"/>
  <c r="S88" i="38"/>
  <c r="S24" i="38"/>
  <c r="S194" i="38"/>
  <c r="S92" i="38"/>
  <c r="S18" i="38"/>
  <c r="S45" i="38"/>
  <c r="S63" i="38"/>
  <c r="S146" i="38"/>
  <c r="S98" i="38"/>
  <c r="S42" i="38"/>
  <c r="S12" i="38"/>
  <c r="S78" i="38"/>
  <c r="S16" i="38"/>
  <c r="S148" i="38"/>
  <c r="S200" i="38"/>
  <c r="S128" i="38"/>
  <c r="S67" i="38"/>
  <c r="S190" i="38"/>
  <c r="S142" i="38"/>
  <c r="S202" i="38"/>
  <c r="S53" i="38"/>
  <c r="S110" i="38"/>
  <c r="S136" i="38"/>
  <c r="S120" i="38"/>
  <c r="S28" i="38"/>
  <c r="S154" i="38"/>
  <c r="S196" i="38"/>
  <c r="S69" i="38"/>
  <c r="S65" i="38"/>
  <c r="S20" i="38"/>
  <c r="S104" i="38"/>
  <c r="S4" i="38"/>
  <c r="S36" i="38"/>
  <c r="S158" i="38"/>
  <c r="S86" i="38"/>
  <c r="S140" i="38"/>
  <c r="S118" i="38"/>
  <c r="S162" i="38"/>
  <c r="S90" i="38"/>
  <c r="S173" i="38"/>
  <c r="S175" i="38"/>
  <c r="S177" i="38"/>
  <c r="S179" i="38"/>
  <c r="S59" i="38"/>
  <c r="S124" i="38"/>
  <c r="S6" i="38"/>
  <c r="S134" i="38"/>
  <c r="S144" i="38"/>
  <c r="S106" i="38"/>
  <c r="S165" i="38"/>
  <c r="S32" i="38"/>
  <c r="S138" i="38"/>
  <c r="S22" i="38"/>
  <c r="S40" i="38"/>
  <c r="S209" i="38"/>
  <c r="S150" i="38"/>
  <c r="S130" i="38"/>
  <c r="S132" i="38"/>
  <c r="Q180" i="38"/>
  <c r="E183" i="38"/>
  <c r="E185" i="38" l="1"/>
  <c r="E229" i="38"/>
  <c r="E186" i="38"/>
  <c r="E187" i="38" s="1"/>
  <c r="E232" i="38" l="1"/>
  <c r="E233" i="38" s="1"/>
  <c r="E231" i="38"/>
  <c r="Q181" i="38"/>
  <c r="S181" i="38" l="1"/>
  <c r="R180" i="38"/>
  <c r="Q183" i="38"/>
  <c r="Q186" i="38" l="1"/>
  <c r="Q187" i="38" s="1"/>
  <c r="Q185" i="38"/>
  <c r="R183" i="38"/>
  <c r="Q229" i="38"/>
  <c r="O13" i="40"/>
  <c r="Q231" i="38" l="1"/>
  <c r="R229" i="38"/>
  <c r="S230" i="38"/>
  <c r="Q232" i="38"/>
  <c r="Q233" i="3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C6" authorId="0" shapeId="0" xr:uid="{803ED931-0CD7-498F-85EB-135317AEA956}">
      <text>
        <r>
          <rPr>
            <sz val="9"/>
            <color indexed="81"/>
            <rFont val="Tahoma"/>
            <family val="2"/>
          </rPr>
          <t>3 Drop Ship Orders - 460k
900k output from HQ very close to our average of 850k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Tony Boutros</author>
  </authors>
  <commentList>
    <comment ref="J133" authorId="0" shapeId="0" xr:uid="{FF96CD6F-2A30-44F4-B9BB-E503F5DA3B24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was 170773.75 when codey ran now it is 150327.60 on 23 jan</t>
        </r>
      </text>
    </comment>
    <comment ref="H180" authorId="0" shapeId="0" xr:uid="{8E760A68-F20C-477E-B358-5E25AD42EDFF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  <comment ref="I180" authorId="0" shapeId="0" xr:uid="{2BFE9190-E814-4936-A2B1-4C7BF2022714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  <comment ref="J180" authorId="0" shapeId="0" xr:uid="{7F6885C8-3ECB-45F6-994C-18B05AB3B506}">
      <text>
        <r>
          <rPr>
            <b/>
            <sz val="9"/>
            <color indexed="81"/>
            <rFont val="Tahoma"/>
            <family val="2"/>
          </rPr>
          <t>Tony Boutros:</t>
        </r>
        <r>
          <rPr>
            <sz val="9"/>
            <color indexed="81"/>
            <rFont val="Tahoma"/>
            <family val="2"/>
          </rPr>
          <t xml:space="preserve">
corolina/michele accounts removed</t>
        </r>
      </text>
    </comment>
  </commentList>
</comments>
</file>

<file path=xl/sharedStrings.xml><?xml version="1.0" encoding="utf-8"?>
<sst xmlns="http://schemas.openxmlformats.org/spreadsheetml/2006/main" count="658" uniqueCount="161">
  <si>
    <t>Total</t>
  </si>
  <si>
    <t>Budget</t>
  </si>
  <si>
    <t>% of Budget</t>
  </si>
  <si>
    <t>$ Variance</t>
  </si>
  <si>
    <t>% Variance</t>
  </si>
  <si>
    <t xml:space="preserve">Annual </t>
  </si>
  <si>
    <t>% Of Sales</t>
  </si>
  <si>
    <t>Account Manager</t>
  </si>
  <si>
    <t>Non-Report</t>
  </si>
  <si>
    <t>Customer Name</t>
  </si>
  <si>
    <t>% to Budget</t>
  </si>
  <si>
    <t>Ann</t>
  </si>
  <si>
    <t>C-Anchored</t>
  </si>
  <si>
    <t>WINNING APPLIANCES</t>
  </si>
  <si>
    <t>Actual</t>
  </si>
  <si>
    <t>Aus Nursing Home (NHF)</t>
  </si>
  <si>
    <t>AUSTRALIAN MILITARY BANK</t>
  </si>
  <si>
    <t>CORNERSTONE HEALTH</t>
  </si>
  <si>
    <t>Edge Early Learning</t>
  </si>
  <si>
    <t>MYCAR</t>
  </si>
  <si>
    <t>SYDNEY CRICKET &amp; SPORTS GRD TR</t>
  </si>
  <si>
    <t>WOOLWORTHS - METRO</t>
  </si>
  <si>
    <t>Fantastic Furniture</t>
  </si>
  <si>
    <t>C-General</t>
  </si>
  <si>
    <t>General-Ann</t>
  </si>
  <si>
    <t>New</t>
  </si>
  <si>
    <t>.</t>
  </si>
  <si>
    <t>Adrian</t>
  </si>
  <si>
    <t>HONDA AUSTRALIA</t>
  </si>
  <si>
    <t>Tasman Logistics</t>
  </si>
  <si>
    <t>Anytime Fitness</t>
  </si>
  <si>
    <t>CVGT</t>
  </si>
  <si>
    <t>Ford</t>
  </si>
  <si>
    <t>General Electric</t>
  </si>
  <si>
    <t>PRESTIGE INHOME CARE</t>
  </si>
  <si>
    <t>TLC</t>
  </si>
  <si>
    <t>VIC</t>
  </si>
  <si>
    <t>David</t>
  </si>
  <si>
    <t>CENTRAL COAST LEAGUES CLUB</t>
  </si>
  <si>
    <t>Transport Heritage</t>
  </si>
  <si>
    <t>HYMIX CONCRETE</t>
  </si>
  <si>
    <t>SMARTWAYS</t>
  </si>
  <si>
    <t>ONSITE RENTAL GROUP</t>
  </si>
  <si>
    <t>REVESBY WORKER CLUB</t>
  </si>
  <si>
    <t>ROADMASTER</t>
  </si>
  <si>
    <t>LION Co</t>
  </si>
  <si>
    <t>RSPCA</t>
  </si>
  <si>
    <t>WITRON</t>
  </si>
  <si>
    <t>UNITED FASTENERS</t>
  </si>
  <si>
    <t>General-David</t>
  </si>
  <si>
    <t>Margarita</t>
  </si>
  <si>
    <t>BAPCOR</t>
  </si>
  <si>
    <t>Cater Care</t>
  </si>
  <si>
    <t>GOODSTART</t>
  </si>
  <si>
    <t>ARCARE</t>
  </si>
  <si>
    <t>RESPECT</t>
  </si>
  <si>
    <t>General-Margarita</t>
  </si>
  <si>
    <t>Nick</t>
  </si>
  <si>
    <t>SCHOOLS</t>
  </si>
  <si>
    <t>Sutherland Shire Council</t>
  </si>
  <si>
    <t>HCF</t>
  </si>
  <si>
    <t>West HQ</t>
  </si>
  <si>
    <t>General-Nick</t>
  </si>
  <si>
    <t>General</t>
  </si>
  <si>
    <t>Pamela</t>
  </si>
  <si>
    <t>CCW</t>
  </si>
  <si>
    <t>Anastasia</t>
  </si>
  <si>
    <t>Tradebond</t>
  </si>
  <si>
    <t>Total All Sales</t>
  </si>
  <si>
    <t>Aftercare/Stride</t>
  </si>
  <si>
    <t>Michele</t>
  </si>
  <si>
    <t>BENETAS</t>
  </si>
  <si>
    <t>Park Hyatt</t>
  </si>
  <si>
    <t>RSL LIFECARE</t>
  </si>
  <si>
    <t>WOOLWORTHS - ALSCO</t>
  </si>
  <si>
    <t>KIP</t>
  </si>
  <si>
    <t>Redland</t>
  </si>
  <si>
    <t>Description</t>
  </si>
  <si>
    <t> </t>
  </si>
  <si>
    <t>HQ WIP</t>
  </si>
  <si>
    <t>Order $</t>
  </si>
  <si>
    <t>Order QTY</t>
  </si>
  <si>
    <t>B/O $</t>
  </si>
  <si>
    <t>B/O QTY</t>
  </si>
  <si>
    <t>BOOKED $</t>
  </si>
  <si>
    <t>BOOKED QTY</t>
  </si>
  <si>
    <t>3PL WIP</t>
  </si>
  <si>
    <t>Total WIP</t>
  </si>
  <si>
    <t>Value</t>
  </si>
  <si>
    <t>Orders</t>
  </si>
  <si>
    <t>MYCAR - ALSCO</t>
  </si>
  <si>
    <t>HARVEY NORMAN</t>
  </si>
  <si>
    <t>SYC</t>
  </si>
  <si>
    <t>TEEG</t>
  </si>
  <si>
    <t>HARVEY NORMAN NZ</t>
  </si>
  <si>
    <t>BIG RIVER GROUP</t>
  </si>
  <si>
    <t>TRU BLU PTY LTD</t>
  </si>
  <si>
    <t>General-Michele</t>
  </si>
  <si>
    <t>General-Adrian</t>
  </si>
  <si>
    <t>NZ</t>
  </si>
  <si>
    <t>Shipped Sales Total</t>
  </si>
  <si>
    <t>Monthly Shipped Sales</t>
  </si>
  <si>
    <t>NZ WIP</t>
  </si>
  <si>
    <t>3PL</t>
  </si>
  <si>
    <t>HQ</t>
  </si>
  <si>
    <t>Sales Budget Vs Actual Invoiced-  1st July 2025 to 30 June 2026</t>
  </si>
  <si>
    <t>Invoiced Sales Total</t>
  </si>
  <si>
    <t>Shipped</t>
  </si>
  <si>
    <t>HARDI AGED CARE</t>
  </si>
  <si>
    <t>Toyota</t>
  </si>
  <si>
    <t>SSP AUSTRALIA CATERING</t>
  </si>
  <si>
    <t>UTS</t>
  </si>
  <si>
    <t>Aveo Retirement Villages</t>
  </si>
  <si>
    <t>TNA Group</t>
  </si>
  <si>
    <t>Ricoh Australia</t>
  </si>
  <si>
    <t>Pickles Auctions</t>
  </si>
  <si>
    <t>Pedders Group</t>
  </si>
  <si>
    <t>Parramatta Leagues Club</t>
  </si>
  <si>
    <t>JELD-WEN GROUP / VENTORA</t>
  </si>
  <si>
    <t>Heidelberg Material</t>
  </si>
  <si>
    <t>Apiam Animal Health</t>
  </si>
  <si>
    <t>The Bureau of Meteorology</t>
  </si>
  <si>
    <t>Mercy Community</t>
  </si>
  <si>
    <t>Mornington Peninsula</t>
  </si>
  <si>
    <t>Royal Automotive Club of Victoria</t>
  </si>
  <si>
    <t>Customer Group</t>
  </si>
  <si>
    <t>Amount</t>
  </si>
  <si>
    <t>Raine and Horne</t>
  </si>
  <si>
    <t>Luxol Childcare Groups</t>
  </si>
  <si>
    <t>Hall and Prior</t>
  </si>
  <si>
    <t>Whiddon</t>
  </si>
  <si>
    <t>DEICORP</t>
  </si>
  <si>
    <t>Canterbury League Club</t>
  </si>
  <si>
    <t>Dooleys</t>
  </si>
  <si>
    <t>St Marys Leagues Club</t>
  </si>
  <si>
    <t>BagTrans</t>
  </si>
  <si>
    <t>EG Australia</t>
  </si>
  <si>
    <t>Hi Quality Group</t>
  </si>
  <si>
    <t>Metropolitan Memorial Parks</t>
  </si>
  <si>
    <t>Hardi Aged Care</t>
  </si>
  <si>
    <t>LION CO</t>
  </si>
  <si>
    <t>PARK HYATT</t>
  </si>
  <si>
    <t>Respect</t>
  </si>
  <si>
    <t>WEST HQ</t>
  </si>
  <si>
    <t>ZZ-CORPORATE-OTHER</t>
  </si>
  <si>
    <t>ZZ-HEALTHCARE-OTHER</t>
  </si>
  <si>
    <t>ZZ-HI VIS &amp; WORKWEAR-OTHER</t>
  </si>
  <si>
    <t>ZZ-HOSPITALITY-OTHER</t>
  </si>
  <si>
    <t>ZZ-OTHER</t>
  </si>
  <si>
    <t>ZZ-RETAIL-OTHER</t>
  </si>
  <si>
    <t>ZZ-SERVICES-OTHER</t>
  </si>
  <si>
    <t>AFTERCARE/STRIDE</t>
  </si>
  <si>
    <t>FORD</t>
  </si>
  <si>
    <t>ZZ-AUTOMATIVE-OTHER</t>
  </si>
  <si>
    <t>ZZ-EDUCATION-OTHER</t>
  </si>
  <si>
    <t>ZZ-GOVERNMENT-OTHER</t>
  </si>
  <si>
    <t>ZZ-Teamwear &amp; Fitness-OTHER</t>
  </si>
  <si>
    <t>FANTASTIC FURNITURE</t>
  </si>
  <si>
    <t>ZZ-MANUFACTURING-OTHER</t>
  </si>
  <si>
    <t>TRANSPORT HERITAGE</t>
  </si>
  <si>
    <t xml:space="preserve">TIG Weekly Financial Snapshot as of the 2nd of October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</si>
</sst>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\(#,##0\)"/>
    <numFmt numFmtId="165" formatCode="#,##0_ ;[Red]\-#,##0\ "/>
    <numFmt numFmtId="166" formatCode="#,##0.00_ ;[Red]\-#,##0.00\ "/>
    <numFmt numFmtId="167" formatCode="#,##0.00;\(#,##0.00\)"/>
    <numFmt numFmtId="168" formatCode="&quot;$&quot;#,##0.00"/>
    <numFmt numFmtId="169" formatCode="_-&quot;$&quot;* #,##0_-;\-&quot;$&quot;* #,##0_-;_-&quot;$&quot;* &quot;-&quot;??_-;_-@_-"/>
    <numFmt numFmtId="170" formatCode="0.000%"/>
    <numFmt numFmtId="171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3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C00000"/>
      <name val="Arial"/>
      <family val="2"/>
    </font>
    <font>
      <sz val="12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0000"/>
        <bgColor indexed="64"/>
      </patternFill>
    </fill>
  </fills>
  <borders count="86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/>
      <diagonal/>
    </border>
    <border>
      <left style="thick">
        <color theme="0" tint="-0.14996795556505021"/>
      </left>
      <right/>
      <top/>
      <bottom/>
      <diagonal/>
    </border>
    <border>
      <left style="thick">
        <color theme="0" tint="-0.14996795556505021"/>
      </left>
      <right style="thick">
        <color theme="0" tint="-0.14990691854609822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ck">
        <color theme="2"/>
      </left>
      <right/>
      <top style="thick">
        <color theme="2"/>
      </top>
      <bottom style="thick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/>
      <bottom style="thick">
        <color theme="2"/>
      </bottom>
      <diagonal/>
    </border>
    <border>
      <left/>
      <right style="thick">
        <color theme="2"/>
      </right>
      <top style="thick">
        <color theme="2"/>
      </top>
      <bottom style="thick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 style="medium">
        <color theme="0" tint="-0.14993743705557422"/>
      </right>
      <top/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thick">
        <color theme="2"/>
      </right>
      <top style="thick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/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medium">
        <color theme="0" tint="-0.14993743705557422"/>
      </left>
      <right style="medium">
        <color theme="0" tint="-0.14993743705557422"/>
      </right>
      <top/>
      <bottom style="medium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ck">
        <color theme="2"/>
      </left>
      <right style="thick">
        <color theme="2"/>
      </right>
      <top/>
      <bottom style="thick">
        <color theme="2"/>
      </bottom>
      <diagonal/>
    </border>
    <border>
      <left style="thick">
        <color theme="2"/>
      </left>
      <right style="thick">
        <color theme="2"/>
      </right>
      <top style="thick">
        <color theme="2"/>
      </top>
      <bottom/>
      <diagonal/>
    </border>
    <border>
      <left style="thick">
        <color theme="2"/>
      </left>
      <right/>
      <top style="thick">
        <color theme="2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theme="0" tint="-0.14993743705557422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 style="thick">
        <color theme="2"/>
      </right>
      <top style="thick">
        <color theme="0" tint="-0.14996795556505021"/>
      </top>
      <bottom/>
      <diagonal/>
    </border>
    <border>
      <left/>
      <right style="thick">
        <color theme="2"/>
      </right>
      <top/>
      <bottom/>
      <diagonal/>
    </border>
    <border>
      <left style="thick">
        <color theme="0" tint="-0.14996795556505021"/>
      </left>
      <right/>
      <top/>
      <bottom style="thick">
        <color theme="2"/>
      </bottom>
      <diagonal/>
    </border>
    <border>
      <left/>
      <right/>
      <top/>
      <bottom style="thick">
        <color theme="2"/>
      </bottom>
      <diagonal/>
    </border>
    <border>
      <left style="medium">
        <color theme="2"/>
      </left>
      <right style="thick">
        <color theme="1"/>
      </right>
      <top/>
      <bottom style="medium">
        <color theme="2"/>
      </bottom>
      <diagonal/>
    </border>
    <border>
      <left/>
      <right style="medium">
        <color theme="2"/>
      </right>
      <top/>
      <bottom/>
      <diagonal/>
    </border>
    <border>
      <left style="thick">
        <color theme="0" tint="-0.14996795556505021"/>
      </left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/>
      <top style="thick">
        <color theme="0" tint="-0.14996795556505021"/>
      </top>
      <bottom style="thick">
        <color theme="0" tint="-0.14996795556505021"/>
      </bottom>
      <diagonal/>
    </border>
    <border>
      <left/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/>
      <diagonal/>
    </border>
    <border>
      <left style="thick">
        <color theme="0" tint="-0.14996795556505021"/>
      </left>
      <right style="thick">
        <color theme="0" tint="-0.14996795556505021"/>
      </right>
      <top/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3743705557422"/>
      </top>
      <bottom style="thick">
        <color theme="0" tint="-0.1499679555650502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rgb="FFD9D9D9"/>
      </left>
      <right/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 style="thick">
        <color rgb="FFD9D9D9"/>
      </top>
      <bottom style="thick">
        <color rgb="FF4472C4"/>
      </bottom>
      <diagonal/>
    </border>
    <border>
      <left/>
      <right style="thick">
        <color rgb="FFD9D9D9"/>
      </right>
      <top/>
      <bottom style="thick">
        <color rgb="FF4472C4"/>
      </bottom>
      <diagonal/>
    </border>
    <border>
      <left style="thick">
        <color rgb="FF4472C4"/>
      </left>
      <right style="thick">
        <color rgb="FF4472C4"/>
      </right>
      <top style="thick">
        <color rgb="FF4472C4"/>
      </top>
      <bottom/>
      <diagonal/>
    </border>
    <border>
      <left style="thick">
        <color rgb="FF4472C4"/>
      </left>
      <right/>
      <top style="thick">
        <color rgb="FF4472C4"/>
      </top>
      <bottom/>
      <diagonal/>
    </border>
    <border>
      <left/>
      <right style="thick">
        <color rgb="FF4472C4"/>
      </right>
      <top style="thick">
        <color rgb="FF4472C4"/>
      </top>
      <bottom/>
      <diagonal/>
    </border>
    <border>
      <left/>
      <right style="thick">
        <color rgb="FF4472C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4472C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4472C4"/>
      </left>
      <right style="thick">
        <color rgb="FF4472C4"/>
      </right>
      <top/>
      <bottom/>
      <diagonal/>
    </border>
    <border>
      <left style="thick">
        <color rgb="FF4472C4"/>
      </left>
      <right style="thick">
        <color rgb="FF4472C4"/>
      </right>
      <top/>
      <bottom style="thick">
        <color rgb="FF4472C4"/>
      </bottom>
      <diagonal/>
    </border>
    <border>
      <left/>
      <right style="thick">
        <color rgb="FF4472C4"/>
      </right>
      <top/>
      <bottom style="thick">
        <color rgb="FF4472C4"/>
      </bottom>
      <diagonal/>
    </border>
    <border>
      <left style="thick">
        <color theme="4"/>
      </left>
      <right style="thick">
        <color theme="4"/>
      </right>
      <top/>
      <bottom/>
      <diagonal/>
    </border>
    <border>
      <left style="thick">
        <color theme="4"/>
      </left>
      <right style="medium">
        <color indexed="64"/>
      </right>
      <top/>
      <bottom/>
      <diagonal/>
    </border>
    <border>
      <left style="thick">
        <color theme="4"/>
      </left>
      <right style="thick">
        <color theme="4"/>
      </right>
      <top/>
      <bottom style="medium">
        <color indexed="64"/>
      </bottom>
      <diagonal/>
    </border>
    <border>
      <left style="thick">
        <color theme="4"/>
      </left>
      <right style="medium">
        <color indexed="64"/>
      </right>
      <top/>
      <bottom style="medium">
        <color indexed="64"/>
      </bottom>
      <diagonal/>
    </border>
    <border>
      <left style="medium">
        <color theme="4" tint="0.39994506668294322"/>
      </left>
      <right style="medium">
        <color theme="4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4" tint="0.3999450666829432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 style="medium">
        <color indexed="64"/>
      </top>
      <bottom/>
      <diagonal/>
    </border>
    <border>
      <left style="medium">
        <color theme="8"/>
      </left>
      <right style="medium">
        <color theme="8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319">
    <xf numFmtId="0" fontId="0" fillId="0" borderId="0" xfId="0"/>
    <xf numFmtId="0" fontId="8" fillId="0" borderId="0" xfId="0" applyFont="1" applyAlignment="1">
      <alignment vertical="center"/>
    </xf>
    <xf numFmtId="49" fontId="2" fillId="0" borderId="2" xfId="2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65" fontId="7" fillId="2" borderId="5" xfId="0" applyNumberFormat="1" applyFont="1" applyFill="1" applyBorder="1"/>
    <xf numFmtId="9" fontId="12" fillId="0" borderId="5" xfId="1" applyFont="1" applyFill="1" applyBorder="1"/>
    <xf numFmtId="9" fontId="2" fillId="3" borderId="5" xfId="1" applyFont="1" applyFill="1" applyBorder="1" applyAlignment="1">
      <alignment horizontal="center"/>
    </xf>
    <xf numFmtId="165" fontId="12" fillId="2" borderId="5" xfId="0" applyNumberFormat="1" applyFont="1" applyFill="1" applyBorder="1"/>
    <xf numFmtId="164" fontId="7" fillId="2" borderId="5" xfId="0" applyNumberFormat="1" applyFont="1" applyFill="1" applyBorder="1"/>
    <xf numFmtId="165" fontId="7" fillId="2" borderId="6" xfId="0" applyNumberFormat="1" applyFont="1" applyFill="1" applyBorder="1"/>
    <xf numFmtId="49" fontId="12" fillId="0" borderId="6" xfId="2" applyNumberFormat="1" applyFont="1" applyBorder="1" applyAlignment="1">
      <alignment horizontal="center" vertical="top"/>
    </xf>
    <xf numFmtId="9" fontId="12" fillId="0" borderId="6" xfId="1" applyFont="1" applyFill="1" applyBorder="1"/>
    <xf numFmtId="165" fontId="4" fillId="2" borderId="6" xfId="0" applyNumberFormat="1" applyFont="1" applyFill="1" applyBorder="1"/>
    <xf numFmtId="9" fontId="2" fillId="3" borderId="6" xfId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/>
    <xf numFmtId="9" fontId="12" fillId="0" borderId="7" xfId="1" applyFont="1" applyFill="1" applyBorder="1"/>
    <xf numFmtId="9" fontId="2" fillId="3" borderId="7" xfId="1" applyFont="1" applyFill="1" applyBorder="1" applyAlignment="1">
      <alignment horizontal="center"/>
    </xf>
    <xf numFmtId="9" fontId="2" fillId="3" borderId="7" xfId="0" applyNumberFormat="1" applyFont="1" applyFill="1" applyBorder="1" applyAlignment="1">
      <alignment vertical="center"/>
    </xf>
    <xf numFmtId="49" fontId="2" fillId="5" borderId="0" xfId="2" applyNumberFormat="1" applyFont="1" applyFill="1" applyAlignment="1">
      <alignment horizontal="center" vertical="center"/>
    </xf>
    <xf numFmtId="49" fontId="7" fillId="2" borderId="0" xfId="2" applyNumberFormat="1" applyFont="1" applyFill="1" applyAlignment="1">
      <alignment horizontal="center" vertical="top"/>
    </xf>
    <xf numFmtId="49" fontId="12" fillId="0" borderId="0" xfId="2" applyNumberFormat="1" applyFont="1" applyAlignment="1">
      <alignment horizontal="center" vertical="top"/>
    </xf>
    <xf numFmtId="49" fontId="12" fillId="2" borderId="0" xfId="2" applyNumberFormat="1" applyFont="1" applyFill="1" applyAlignment="1">
      <alignment horizontal="center" vertical="top"/>
    </xf>
    <xf numFmtId="164" fontId="7" fillId="2" borderId="7" xfId="0" applyNumberFormat="1" applyFont="1" applyFill="1" applyBorder="1"/>
    <xf numFmtId="165" fontId="12" fillId="2" borderId="7" xfId="0" applyNumberFormat="1" applyFont="1" applyFill="1" applyBorder="1"/>
    <xf numFmtId="49" fontId="2" fillId="4" borderId="6" xfId="2" applyNumberFormat="1" applyFont="1" applyFill="1" applyBorder="1" applyAlignment="1">
      <alignment horizontal="center" vertical="center"/>
    </xf>
    <xf numFmtId="167" fontId="2" fillId="4" borderId="6" xfId="0" applyNumberFormat="1" applyFont="1" applyFill="1" applyBorder="1" applyAlignment="1">
      <alignment vertical="center"/>
    </xf>
    <xf numFmtId="49" fontId="7" fillId="2" borderId="6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top"/>
    </xf>
    <xf numFmtId="165" fontId="12" fillId="2" borderId="6" xfId="0" applyNumberFormat="1" applyFont="1" applyFill="1" applyBorder="1"/>
    <xf numFmtId="49" fontId="2" fillId="3" borderId="6" xfId="2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167" fontId="2" fillId="5" borderId="9" xfId="0" applyNumberFormat="1" applyFont="1" applyFill="1" applyBorder="1" applyAlignment="1">
      <alignment vertical="center"/>
    </xf>
    <xf numFmtId="9" fontId="12" fillId="0" borderId="11" xfId="1" applyFont="1" applyFill="1" applyBorder="1"/>
    <xf numFmtId="9" fontId="2" fillId="3" borderId="11" xfId="1" applyFont="1" applyFill="1" applyBorder="1" applyAlignment="1">
      <alignment horizontal="center"/>
    </xf>
    <xf numFmtId="0" fontId="8" fillId="4" borderId="12" xfId="0" applyFont="1" applyFill="1" applyBorder="1" applyAlignment="1">
      <alignment vertical="center"/>
    </xf>
    <xf numFmtId="9" fontId="12" fillId="0" borderId="13" xfId="1" applyFont="1" applyFill="1" applyBorder="1"/>
    <xf numFmtId="165" fontId="12" fillId="2" borderId="13" xfId="0" applyNumberFormat="1" applyFont="1" applyFill="1" applyBorder="1"/>
    <xf numFmtId="9" fontId="12" fillId="0" borderId="15" xfId="1" applyFont="1" applyFill="1" applyBorder="1"/>
    <xf numFmtId="165" fontId="4" fillId="2" borderId="15" xfId="0" applyNumberFormat="1" applyFont="1" applyFill="1" applyBorder="1"/>
    <xf numFmtId="9" fontId="2" fillId="3" borderId="15" xfId="1" applyFont="1" applyFill="1" applyBorder="1" applyAlignment="1">
      <alignment horizontal="center"/>
    </xf>
    <xf numFmtId="9" fontId="12" fillId="0" borderId="10" xfId="1" applyFont="1" applyFill="1" applyBorder="1"/>
    <xf numFmtId="165" fontId="4" fillId="2" borderId="10" xfId="0" applyNumberFormat="1" applyFont="1" applyFill="1" applyBorder="1"/>
    <xf numFmtId="9" fontId="2" fillId="3" borderId="10" xfId="1" applyFont="1" applyFill="1" applyBorder="1"/>
    <xf numFmtId="165" fontId="12" fillId="2" borderId="10" xfId="0" applyNumberFormat="1" applyFont="1" applyFill="1" applyBorder="1"/>
    <xf numFmtId="9" fontId="12" fillId="0" borderId="18" xfId="1" applyFont="1" applyFill="1" applyBorder="1"/>
    <xf numFmtId="3" fontId="12" fillId="2" borderId="18" xfId="0" applyNumberFormat="1" applyFont="1" applyFill="1" applyBorder="1"/>
    <xf numFmtId="9" fontId="2" fillId="3" borderId="18" xfId="1" applyFont="1" applyFill="1" applyBorder="1"/>
    <xf numFmtId="165" fontId="12" fillId="2" borderId="18" xfId="0" applyNumberFormat="1" applyFont="1" applyFill="1" applyBorder="1"/>
    <xf numFmtId="165" fontId="12" fillId="2" borderId="15" xfId="0" applyNumberFormat="1" applyFont="1" applyFill="1" applyBorder="1"/>
    <xf numFmtId="9" fontId="2" fillId="3" borderId="15" xfId="1" applyFont="1" applyFill="1" applyBorder="1" applyAlignment="1">
      <alignment horizontal="center" vertical="center"/>
    </xf>
    <xf numFmtId="49" fontId="2" fillId="5" borderId="16" xfId="2" applyNumberFormat="1" applyFont="1" applyFill="1" applyBorder="1" applyAlignment="1">
      <alignment horizontal="center" vertical="center"/>
    </xf>
    <xf numFmtId="49" fontId="12" fillId="0" borderId="10" xfId="2" applyNumberFormat="1" applyFont="1" applyBorder="1" applyAlignment="1">
      <alignment horizontal="center" vertical="top"/>
    </xf>
    <xf numFmtId="49" fontId="2" fillId="5" borderId="14" xfId="2" applyNumberFormat="1" applyFont="1" applyFill="1" applyBorder="1" applyAlignment="1">
      <alignment horizontal="center" vertical="center"/>
    </xf>
    <xf numFmtId="49" fontId="7" fillId="2" borderId="15" xfId="2" applyNumberFormat="1" applyFont="1" applyFill="1" applyBorder="1" applyAlignment="1">
      <alignment horizontal="center" vertical="top"/>
    </xf>
    <xf numFmtId="49" fontId="12" fillId="0" borderId="15" xfId="2" applyNumberFormat="1" applyFont="1" applyBorder="1" applyAlignment="1">
      <alignment horizontal="center" vertical="top"/>
    </xf>
    <xf numFmtId="165" fontId="11" fillId="2" borderId="15" xfId="2" applyNumberFormat="1" applyFont="1" applyFill="1" applyBorder="1" applyAlignment="1">
      <alignment horizontal="center" vertical="top"/>
    </xf>
    <xf numFmtId="49" fontId="2" fillId="3" borderId="15" xfId="2" applyNumberFormat="1" applyFont="1" applyFill="1" applyBorder="1" applyAlignment="1">
      <alignment horizontal="center" vertical="top"/>
    </xf>
    <xf numFmtId="0" fontId="8" fillId="4" borderId="19" xfId="0" applyFont="1" applyFill="1" applyBorder="1" applyAlignment="1">
      <alignment vertical="center"/>
    </xf>
    <xf numFmtId="49" fontId="7" fillId="2" borderId="10" xfId="2" applyNumberFormat="1" applyFont="1" applyFill="1" applyBorder="1" applyAlignment="1">
      <alignment horizontal="center" vertical="top"/>
    </xf>
    <xf numFmtId="49" fontId="11" fillId="2" borderId="10" xfId="2" applyNumberFormat="1" applyFont="1" applyFill="1" applyBorder="1" applyAlignment="1">
      <alignment horizontal="center" vertical="top"/>
    </xf>
    <xf numFmtId="49" fontId="2" fillId="3" borderId="10" xfId="2" applyNumberFormat="1" applyFont="1" applyFill="1" applyBorder="1" applyAlignment="1">
      <alignment horizontal="center" vertical="top"/>
    </xf>
    <xf numFmtId="0" fontId="8" fillId="4" borderId="20" xfId="0" applyFont="1" applyFill="1" applyBorder="1" applyAlignment="1">
      <alignment vertical="center"/>
    </xf>
    <xf numFmtId="49" fontId="12" fillId="2" borderId="10" xfId="2" applyNumberFormat="1" applyFont="1" applyFill="1" applyBorder="1" applyAlignment="1">
      <alignment horizontal="center" vertical="top"/>
    </xf>
    <xf numFmtId="49" fontId="7" fillId="2" borderId="18" xfId="2" applyNumberFormat="1" applyFont="1" applyFill="1" applyBorder="1" applyAlignment="1">
      <alignment horizontal="center" vertical="top"/>
    </xf>
    <xf numFmtId="49" fontId="12" fillId="0" borderId="18" xfId="2" applyNumberFormat="1" applyFont="1" applyBorder="1" applyAlignment="1">
      <alignment horizontal="center" vertical="top"/>
    </xf>
    <xf numFmtId="49" fontId="12" fillId="2" borderId="18" xfId="2" applyNumberFormat="1" applyFont="1" applyFill="1" applyBorder="1" applyAlignment="1">
      <alignment horizontal="center" vertical="top"/>
    </xf>
    <xf numFmtId="49" fontId="2" fillId="3" borderId="18" xfId="2" applyNumberFormat="1" applyFont="1" applyFill="1" applyBorder="1" applyAlignment="1">
      <alignment horizontal="center" vertical="top"/>
    </xf>
    <xf numFmtId="49" fontId="2" fillId="3" borderId="0" xfId="2" applyNumberFormat="1" applyFont="1" applyFill="1" applyAlignment="1">
      <alignment horizontal="center" vertical="top"/>
    </xf>
    <xf numFmtId="167" fontId="2" fillId="5" borderId="24" xfId="0" applyNumberFormat="1" applyFont="1" applyFill="1" applyBorder="1" applyAlignment="1">
      <alignment vertical="center"/>
    </xf>
    <xf numFmtId="0" fontId="8" fillId="4" borderId="2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49" fontId="6" fillId="0" borderId="31" xfId="2" applyNumberFormat="1" applyFont="1" applyBorder="1" applyAlignment="1">
      <alignment horizontal="center" vertical="top"/>
    </xf>
    <xf numFmtId="3" fontId="6" fillId="0" borderId="31" xfId="0" applyNumberFormat="1" applyFont="1" applyBorder="1"/>
    <xf numFmtId="3" fontId="6" fillId="0" borderId="31" xfId="0" applyNumberFormat="1" applyFont="1" applyBorder="1" applyAlignment="1">
      <alignment horizontal="right"/>
    </xf>
    <xf numFmtId="165" fontId="6" fillId="0" borderId="31" xfId="0" applyNumberFormat="1" applyFont="1" applyBorder="1" applyAlignment="1">
      <alignment horizontal="right"/>
    </xf>
    <xf numFmtId="49" fontId="7" fillId="0" borderId="32" xfId="2" applyNumberFormat="1" applyFont="1" applyBorder="1" applyAlignment="1">
      <alignment horizontal="center" vertical="top"/>
    </xf>
    <xf numFmtId="165" fontId="7" fillId="2" borderId="32" xfId="0" applyNumberFormat="1" applyFont="1" applyFill="1" applyBorder="1" applyAlignment="1">
      <alignment horizontal="right"/>
    </xf>
    <xf numFmtId="166" fontId="2" fillId="5" borderId="34" xfId="0" applyNumberFormat="1" applyFont="1" applyFill="1" applyBorder="1" applyAlignment="1">
      <alignment vertical="center"/>
    </xf>
    <xf numFmtId="49" fontId="6" fillId="0" borderId="32" xfId="2" applyNumberFormat="1" applyFont="1" applyBorder="1" applyAlignment="1">
      <alignment horizontal="center" vertical="top"/>
    </xf>
    <xf numFmtId="165" fontId="6" fillId="0" borderId="32" xfId="0" applyNumberFormat="1" applyFont="1" applyBorder="1" applyAlignment="1">
      <alignment horizontal="right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165" fontId="7" fillId="2" borderId="32" xfId="0" applyNumberFormat="1" applyFont="1" applyFill="1" applyBorder="1"/>
    <xf numFmtId="166" fontId="2" fillId="5" borderId="9" xfId="0" applyNumberFormat="1" applyFont="1" applyFill="1" applyBorder="1" applyAlignment="1">
      <alignment vertical="center"/>
    </xf>
    <xf numFmtId="164" fontId="6" fillId="0" borderId="31" xfId="0" applyNumberFormat="1" applyFont="1" applyBorder="1"/>
    <xf numFmtId="164" fontId="6" fillId="0" borderId="32" xfId="0" applyNumberFormat="1" applyFont="1" applyBorder="1"/>
    <xf numFmtId="164" fontId="7" fillId="0" borderId="32" xfId="0" applyNumberFormat="1" applyFont="1" applyBorder="1"/>
    <xf numFmtId="165" fontId="6" fillId="0" borderId="32" xfId="0" applyNumberFormat="1" applyFont="1" applyBorder="1"/>
    <xf numFmtId="165" fontId="6" fillId="0" borderId="37" xfId="0" applyNumberFormat="1" applyFont="1" applyBorder="1"/>
    <xf numFmtId="165" fontId="7" fillId="2" borderId="37" xfId="0" applyNumberFormat="1" applyFont="1" applyFill="1" applyBorder="1"/>
    <xf numFmtId="49" fontId="2" fillId="5" borderId="17" xfId="2" applyNumberFormat="1" applyFont="1" applyFill="1" applyBorder="1" applyAlignment="1">
      <alignment horizontal="center" vertical="center"/>
    </xf>
    <xf numFmtId="166" fontId="2" fillId="5" borderId="24" xfId="0" applyNumberFormat="1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39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164" fontId="7" fillId="2" borderId="32" xfId="0" applyNumberFormat="1" applyFont="1" applyFill="1" applyBorder="1"/>
    <xf numFmtId="3" fontId="7" fillId="2" borderId="32" xfId="0" applyNumberFormat="1" applyFont="1" applyFill="1" applyBorder="1"/>
    <xf numFmtId="9" fontId="6" fillId="0" borderId="27" xfId="0" applyNumberFormat="1" applyFont="1" applyBorder="1" applyAlignment="1">
      <alignment horizontal="center" vertical="center"/>
    </xf>
    <xf numFmtId="9" fontId="2" fillId="5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9" fontId="2" fillId="4" borderId="0" xfId="0" applyNumberFormat="1" applyFont="1" applyFill="1" applyAlignment="1">
      <alignment horizontal="center" vertical="center"/>
    </xf>
    <xf numFmtId="10" fontId="11" fillId="0" borderId="26" xfId="0" applyNumberFormat="1" applyFont="1" applyBorder="1" applyAlignment="1">
      <alignment horizontal="center" vertical="center"/>
    </xf>
    <xf numFmtId="10" fontId="6" fillId="0" borderId="25" xfId="0" applyNumberFormat="1" applyFont="1" applyBorder="1" applyAlignment="1">
      <alignment horizontal="center" vertical="center"/>
    </xf>
    <xf numFmtId="10" fontId="6" fillId="0" borderId="26" xfId="0" applyNumberFormat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vertical="center"/>
    </xf>
    <xf numFmtId="17" fontId="2" fillId="4" borderId="9" xfId="0" applyNumberFormat="1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 wrapText="1"/>
    </xf>
    <xf numFmtId="165" fontId="7" fillId="2" borderId="33" xfId="0" applyNumberFormat="1" applyFont="1" applyFill="1" applyBorder="1"/>
    <xf numFmtId="164" fontId="7" fillId="0" borderId="33" xfId="0" applyNumberFormat="1" applyFont="1" applyBorder="1"/>
    <xf numFmtId="165" fontId="6" fillId="0" borderId="31" xfId="0" applyNumberFormat="1" applyFont="1" applyBorder="1"/>
    <xf numFmtId="0" fontId="8" fillId="4" borderId="0" xfId="0" applyFont="1" applyFill="1" applyAlignment="1">
      <alignment horizontal="left" vertical="center"/>
    </xf>
    <xf numFmtId="165" fontId="6" fillId="6" borderId="31" xfId="0" applyNumberFormat="1" applyFont="1" applyFill="1" applyBorder="1" applyAlignment="1">
      <alignment horizontal="right"/>
    </xf>
    <xf numFmtId="0" fontId="6" fillId="0" borderId="25" xfId="0" applyFont="1" applyBorder="1" applyAlignment="1">
      <alignment horizontal="center" vertical="center"/>
    </xf>
    <xf numFmtId="165" fontId="6" fillId="6" borderId="32" xfId="0" applyNumberFormat="1" applyFont="1" applyFill="1" applyBorder="1"/>
    <xf numFmtId="3" fontId="6" fillId="7" borderId="31" xfId="0" applyNumberFormat="1" applyFont="1" applyFill="1" applyBorder="1"/>
    <xf numFmtId="9" fontId="2" fillId="8" borderId="0" xfId="0" applyNumberFormat="1" applyFont="1" applyFill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6" fontId="10" fillId="0" borderId="0" xfId="0" applyNumberFormat="1" applyFont="1"/>
    <xf numFmtId="3" fontId="7" fillId="0" borderId="31" xfId="0" applyNumberFormat="1" applyFont="1" applyBorder="1" applyAlignment="1">
      <alignment horizontal="right"/>
    </xf>
    <xf numFmtId="3" fontId="6" fillId="0" borderId="31" xfId="0" applyNumberFormat="1" applyFont="1" applyBorder="1" applyAlignment="1">
      <alignment horizontal="right" vertical="top"/>
    </xf>
    <xf numFmtId="165" fontId="6" fillId="0" borderId="31" xfId="0" applyNumberFormat="1" applyFont="1" applyBorder="1" applyAlignment="1">
      <alignment horizontal="right" vertical="top"/>
    </xf>
    <xf numFmtId="0" fontId="4" fillId="0" borderId="56" xfId="0" applyFont="1" applyBorder="1"/>
    <xf numFmtId="165" fontId="6" fillId="0" borderId="57" xfId="0" applyNumberFormat="1" applyFont="1" applyBorder="1" applyAlignment="1">
      <alignment horizontal="right"/>
    </xf>
    <xf numFmtId="9" fontId="12" fillId="0" borderId="5" xfId="1" applyFont="1" applyBorder="1"/>
    <xf numFmtId="164" fontId="7" fillId="2" borderId="15" xfId="0" applyNumberFormat="1" applyFont="1" applyFill="1" applyBorder="1" applyAlignment="1">
      <alignment vertical="center"/>
    </xf>
    <xf numFmtId="0" fontId="10" fillId="0" borderId="0" xfId="0" applyFont="1"/>
    <xf numFmtId="165" fontId="10" fillId="0" borderId="0" xfId="0" applyNumberFormat="1" applyFont="1"/>
    <xf numFmtId="49" fontId="7" fillId="0" borderId="37" xfId="2" applyNumberFormat="1" applyFont="1" applyBorder="1" applyAlignment="1">
      <alignment horizontal="center" vertical="top"/>
    </xf>
    <xf numFmtId="49" fontId="6" fillId="0" borderId="57" xfId="2" applyNumberFormat="1" applyFont="1" applyBorder="1" applyAlignment="1">
      <alignment horizontal="center" vertical="top"/>
    </xf>
    <xf numFmtId="168" fontId="10" fillId="0" borderId="0" xfId="0" applyNumberFormat="1" applyFont="1"/>
    <xf numFmtId="165" fontId="7" fillId="9" borderId="32" xfId="0" applyNumberFormat="1" applyFont="1" applyFill="1" applyBorder="1" applyAlignment="1">
      <alignment horizontal="right"/>
    </xf>
    <xf numFmtId="164" fontId="7" fillId="9" borderId="33" xfId="0" applyNumberFormat="1" applyFont="1" applyFill="1" applyBorder="1"/>
    <xf numFmtId="164" fontId="7" fillId="9" borderId="32" xfId="0" applyNumberFormat="1" applyFont="1" applyFill="1" applyBorder="1"/>
    <xf numFmtId="165" fontId="7" fillId="9" borderId="32" xfId="0" applyNumberFormat="1" applyFont="1" applyFill="1" applyBorder="1"/>
    <xf numFmtId="165" fontId="7" fillId="0" borderId="32" xfId="0" applyNumberFormat="1" applyFont="1" applyBorder="1"/>
    <xf numFmtId="166" fontId="7" fillId="0" borderId="32" xfId="0" applyNumberFormat="1" applyFont="1" applyBorder="1"/>
    <xf numFmtId="0" fontId="17" fillId="0" borderId="0" xfId="0" applyFont="1"/>
    <xf numFmtId="0" fontId="19" fillId="10" borderId="60" xfId="0" applyFont="1" applyFill="1" applyBorder="1" applyAlignment="1">
      <alignment wrapText="1"/>
    </xf>
    <xf numFmtId="0" fontId="16" fillId="0" borderId="0" xfId="0" applyFont="1"/>
    <xf numFmtId="0" fontId="16" fillId="12" borderId="64" xfId="0" applyFont="1" applyFill="1" applyBorder="1"/>
    <xf numFmtId="0" fontId="21" fillId="0" borderId="0" xfId="0" applyFont="1"/>
    <xf numFmtId="0" fontId="23" fillId="0" borderId="0" xfId="0" applyFont="1"/>
    <xf numFmtId="44" fontId="17" fillId="14" borderId="63" xfId="0" applyNumberFormat="1" applyFont="1" applyFill="1" applyBorder="1"/>
    <xf numFmtId="44" fontId="11" fillId="0" borderId="0" xfId="0" applyNumberFormat="1" applyFont="1"/>
    <xf numFmtId="44" fontId="23" fillId="0" borderId="0" xfId="0" applyNumberFormat="1" applyFont="1"/>
    <xf numFmtId="2" fontId="11" fillId="0" borderId="0" xfId="0" applyNumberFormat="1" applyFont="1"/>
    <xf numFmtId="2" fontId="23" fillId="0" borderId="0" xfId="0" applyNumberFormat="1" applyFont="1"/>
    <xf numFmtId="9" fontId="20" fillId="0" borderId="72" xfId="1" applyFont="1" applyFill="1" applyBorder="1" applyAlignment="1" applyProtection="1">
      <alignment horizontal="center"/>
    </xf>
    <xf numFmtId="3" fontId="20" fillId="9" borderId="72" xfId="0" applyNumberFormat="1" applyFont="1" applyFill="1" applyBorder="1" applyAlignment="1">
      <alignment horizontal="center"/>
    </xf>
    <xf numFmtId="3" fontId="20" fillId="9" borderId="73" xfId="0" applyNumberFormat="1" applyFont="1" applyFill="1" applyBorder="1" applyAlignment="1">
      <alignment horizontal="center"/>
    </xf>
    <xf numFmtId="9" fontId="11" fillId="0" borderId="74" xfId="1" applyFont="1" applyFill="1" applyBorder="1" applyAlignment="1" applyProtection="1">
      <alignment horizontal="center" vertical="center"/>
    </xf>
    <xf numFmtId="9" fontId="11" fillId="0" borderId="75" xfId="1" applyFont="1" applyFill="1" applyBorder="1" applyAlignment="1" applyProtection="1">
      <alignment horizontal="center" vertical="center"/>
    </xf>
    <xf numFmtId="1" fontId="13" fillId="0" borderId="64" xfId="0" applyNumberFormat="1" applyFont="1" applyBorder="1"/>
    <xf numFmtId="1" fontId="17" fillId="0" borderId="64" xfId="0" applyNumberFormat="1" applyFont="1" applyBorder="1"/>
    <xf numFmtId="1" fontId="13" fillId="0" borderId="71" xfId="0" applyNumberFormat="1" applyFont="1" applyBorder="1"/>
    <xf numFmtId="169" fontId="17" fillId="14" borderId="63" xfId="0" applyNumberFormat="1" applyFont="1" applyFill="1" applyBorder="1"/>
    <xf numFmtId="169" fontId="17" fillId="14" borderId="64" xfId="0" applyNumberFormat="1" applyFont="1" applyFill="1" applyBorder="1"/>
    <xf numFmtId="1" fontId="13" fillId="0" borderId="69" xfId="0" applyNumberFormat="1" applyFont="1" applyBorder="1"/>
    <xf numFmtId="169" fontId="17" fillId="14" borderId="69" xfId="0" applyNumberFormat="1" applyFont="1" applyFill="1" applyBorder="1"/>
    <xf numFmtId="1" fontId="17" fillId="0" borderId="70" xfId="0" applyNumberFormat="1" applyFont="1" applyBorder="1"/>
    <xf numFmtId="169" fontId="17" fillId="14" borderId="61" xfId="0" applyNumberFormat="1" applyFont="1" applyFill="1" applyBorder="1"/>
    <xf numFmtId="1" fontId="13" fillId="0" borderId="70" xfId="0" applyNumberFormat="1" applyFont="1" applyBorder="1"/>
    <xf numFmtId="169" fontId="16" fillId="14" borderId="61" xfId="0" applyNumberFormat="1" applyFont="1" applyFill="1" applyBorder="1"/>
    <xf numFmtId="169" fontId="16" fillId="14" borderId="69" xfId="0" applyNumberFormat="1" applyFont="1" applyFill="1" applyBorder="1"/>
    <xf numFmtId="169" fontId="16" fillId="14" borderId="70" xfId="0" applyNumberFormat="1" applyFont="1" applyFill="1" applyBorder="1"/>
    <xf numFmtId="17" fontId="19" fillId="11" borderId="59" xfId="0" applyNumberFormat="1" applyFont="1" applyFill="1" applyBorder="1"/>
    <xf numFmtId="0" fontId="11" fillId="0" borderId="0" xfId="0" applyFont="1"/>
    <xf numFmtId="1" fontId="16" fillId="0" borderId="0" xfId="0" applyNumberFormat="1" applyFont="1"/>
    <xf numFmtId="1" fontId="0" fillId="0" borderId="0" xfId="0" applyNumberFormat="1"/>
    <xf numFmtId="169" fontId="7" fillId="2" borderId="76" xfId="0" applyNumberFormat="1" applyFont="1" applyFill="1" applyBorder="1" applyAlignment="1">
      <alignment horizontal="center" vertical="center"/>
    </xf>
    <xf numFmtId="169" fontId="7" fillId="2" borderId="79" xfId="0" applyNumberFormat="1" applyFont="1" applyFill="1" applyBorder="1" applyAlignment="1">
      <alignment horizontal="center" vertical="center"/>
    </xf>
    <xf numFmtId="169" fontId="20" fillId="9" borderId="4" xfId="1" applyNumberFormat="1" applyFont="1" applyFill="1" applyBorder="1" applyAlignment="1" applyProtection="1">
      <alignment horizontal="center" vertical="center"/>
    </xf>
    <xf numFmtId="9" fontId="11" fillId="0" borderId="0" xfId="1" applyFont="1" applyFill="1" applyBorder="1" applyAlignment="1" applyProtection="1">
      <alignment horizontal="center" vertical="center"/>
    </xf>
    <xf numFmtId="169" fontId="6" fillId="6" borderId="28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/>
    </xf>
    <xf numFmtId="10" fontId="7" fillId="2" borderId="30" xfId="1" applyNumberFormat="1" applyFont="1" applyFill="1" applyBorder="1" applyAlignment="1" applyProtection="1">
      <alignment horizontal="center" vertical="center"/>
    </xf>
    <xf numFmtId="169" fontId="6" fillId="6" borderId="82" xfId="1" applyNumberFormat="1" applyFont="1" applyFill="1" applyBorder="1" applyAlignment="1" applyProtection="1">
      <alignment horizontal="center"/>
    </xf>
    <xf numFmtId="10" fontId="7" fillId="2" borderId="83" xfId="1" applyNumberFormat="1" applyFont="1" applyFill="1" applyBorder="1" applyAlignment="1" applyProtection="1">
      <alignment horizontal="center"/>
    </xf>
    <xf numFmtId="169" fontId="6" fillId="6" borderId="82" xfId="0" applyNumberFormat="1" applyFont="1" applyFill="1" applyBorder="1" applyAlignment="1">
      <alignment horizontal="center"/>
    </xf>
    <xf numFmtId="10" fontId="7" fillId="2" borderId="83" xfId="0" applyNumberFormat="1" applyFont="1" applyFill="1" applyBorder="1" applyAlignment="1">
      <alignment horizontal="center"/>
    </xf>
    <xf numFmtId="10" fontId="7" fillId="2" borderId="83" xfId="1" applyNumberFormat="1" applyFont="1" applyFill="1" applyBorder="1" applyAlignment="1" applyProtection="1">
      <alignment horizontal="center" vertical="center"/>
    </xf>
    <xf numFmtId="169" fontId="6" fillId="6" borderId="82" xfId="1" applyNumberFormat="1" applyFont="1" applyFill="1" applyBorder="1" applyAlignment="1" applyProtection="1">
      <alignment horizontal="center" vertical="center"/>
    </xf>
    <xf numFmtId="169" fontId="6" fillId="6" borderId="82" xfId="0" applyNumberFormat="1" applyFont="1" applyFill="1" applyBorder="1" applyAlignment="1">
      <alignment horizontal="center" vertical="center"/>
    </xf>
    <xf numFmtId="10" fontId="7" fillId="2" borderId="83" xfId="0" applyNumberFormat="1" applyFont="1" applyFill="1" applyBorder="1" applyAlignment="1">
      <alignment horizontal="center" vertical="center"/>
    </xf>
    <xf numFmtId="0" fontId="16" fillId="14" borderId="63" xfId="0" applyFont="1" applyFill="1" applyBorder="1" applyAlignment="1">
      <alignment horizontal="left" vertical="center"/>
    </xf>
    <xf numFmtId="0" fontId="22" fillId="0" borderId="64" xfId="0" applyFont="1" applyBorder="1" applyAlignment="1">
      <alignment horizontal="left" vertical="center"/>
    </xf>
    <xf numFmtId="0" fontId="16" fillId="14" borderId="64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 vertical="center"/>
    </xf>
    <xf numFmtId="0" fontId="16" fillId="0" borderId="64" xfId="0" applyFont="1" applyBorder="1" applyAlignment="1">
      <alignment horizontal="left" vertical="center"/>
    </xf>
    <xf numFmtId="0" fontId="6" fillId="0" borderId="71" xfId="0" applyFont="1" applyBorder="1" applyAlignment="1">
      <alignment horizontal="left" vertical="center"/>
    </xf>
    <xf numFmtId="0" fontId="6" fillId="17" borderId="64" xfId="0" applyFont="1" applyFill="1" applyBorder="1" applyAlignment="1">
      <alignment horizontal="left" vertical="center"/>
    </xf>
    <xf numFmtId="169" fontId="6" fillId="17" borderId="64" xfId="0" applyNumberFormat="1" applyFont="1" applyFill="1" applyBorder="1" applyAlignment="1">
      <alignment horizontal="right" vertical="center"/>
    </xf>
    <xf numFmtId="169" fontId="16" fillId="17" borderId="61" xfId="0" applyNumberFormat="1" applyFont="1" applyFill="1" applyBorder="1"/>
    <xf numFmtId="0" fontId="6" fillId="17" borderId="71" xfId="0" applyFont="1" applyFill="1" applyBorder="1" applyAlignment="1">
      <alignment horizontal="left" vertical="center"/>
    </xf>
    <xf numFmtId="1" fontId="16" fillId="17" borderId="71" xfId="0" applyNumberFormat="1" applyFont="1" applyFill="1" applyBorder="1" applyAlignment="1">
      <alignment horizontal="right" vertical="center"/>
    </xf>
    <xf numFmtId="169" fontId="16" fillId="17" borderId="70" xfId="0" applyNumberFormat="1" applyFont="1" applyFill="1" applyBorder="1"/>
    <xf numFmtId="170" fontId="20" fillId="0" borderId="73" xfId="1" applyNumberFormat="1" applyFont="1" applyFill="1" applyBorder="1" applyAlignment="1" applyProtection="1">
      <alignment horizontal="center"/>
    </xf>
    <xf numFmtId="169" fontId="16" fillId="15" borderId="66" xfId="0" applyNumberFormat="1" applyFont="1" applyFill="1" applyBorder="1" applyAlignment="1">
      <alignment horizontal="center" vertical="center"/>
    </xf>
    <xf numFmtId="169" fontId="16" fillId="15" borderId="28" xfId="0" applyNumberFormat="1" applyFont="1" applyFill="1" applyBorder="1" applyAlignment="1">
      <alignment horizontal="center" vertical="center"/>
    </xf>
    <xf numFmtId="169" fontId="16" fillId="0" borderId="66" xfId="0" applyNumberFormat="1" applyFont="1" applyBorder="1" applyAlignment="1">
      <alignment horizontal="center" vertical="center"/>
    </xf>
    <xf numFmtId="169" fontId="16" fillId="0" borderId="28" xfId="0" applyNumberFormat="1" applyFont="1" applyBorder="1" applyAlignment="1">
      <alignment horizontal="center" vertical="center"/>
    </xf>
    <xf numFmtId="0" fontId="16" fillId="12" borderId="64" xfId="0" applyFont="1" applyFill="1" applyBorder="1" applyAlignment="1">
      <alignment horizontal="center" vertical="center"/>
    </xf>
    <xf numFmtId="0" fontId="16" fillId="12" borderId="64" xfId="0" applyFont="1" applyFill="1" applyBorder="1" applyAlignment="1">
      <alignment horizontal="center"/>
    </xf>
    <xf numFmtId="169" fontId="16" fillId="22" borderId="66" xfId="0" applyNumberFormat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13" fillId="0" borderId="25" xfId="3" applyNumberFormat="1" applyFont="1" applyBorder="1" applyAlignment="1">
      <alignment horizontal="left" vertical="center"/>
    </xf>
    <xf numFmtId="49" fontId="13" fillId="0" borderId="26" xfId="3" applyNumberFormat="1" applyFont="1" applyBorder="1" applyAlignment="1">
      <alignment horizontal="left" vertical="center"/>
    </xf>
    <xf numFmtId="49" fontId="13" fillId="0" borderId="25" xfId="2" applyNumberFormat="1" applyFont="1" applyBorder="1" applyAlignment="1">
      <alignment horizontal="center" vertical="center"/>
    </xf>
    <xf numFmtId="49" fontId="13" fillId="0" borderId="2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left" vertical="center"/>
    </xf>
    <xf numFmtId="49" fontId="13" fillId="0" borderId="26" xfId="2" applyNumberFormat="1" applyFont="1" applyBorder="1" applyAlignment="1">
      <alignment horizontal="left" vertical="center"/>
    </xf>
    <xf numFmtId="49" fontId="13" fillId="0" borderId="22" xfId="2" applyNumberFormat="1" applyFont="1" applyBorder="1" applyAlignment="1">
      <alignment horizontal="left" vertical="center"/>
    </xf>
    <xf numFmtId="49" fontId="13" fillId="0" borderId="23" xfId="2" applyNumberFormat="1" applyFont="1" applyBorder="1" applyAlignment="1">
      <alignment horizontal="left" vertical="center"/>
    </xf>
    <xf numFmtId="49" fontId="2" fillId="5" borderId="22" xfId="2" applyNumberFormat="1" applyFont="1" applyFill="1" applyBorder="1" applyAlignment="1">
      <alignment horizontal="center" vertical="center"/>
    </xf>
    <xf numFmtId="49" fontId="2" fillId="5" borderId="23" xfId="2" applyNumberFormat="1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49" fontId="2" fillId="3" borderId="41" xfId="2" applyNumberFormat="1" applyFont="1" applyFill="1" applyBorder="1" applyAlignment="1">
      <alignment horizontal="center" vertical="center"/>
    </xf>
    <xf numFmtId="49" fontId="2" fillId="3" borderId="42" xfId="2" applyNumberFormat="1" applyFont="1" applyFill="1" applyBorder="1" applyAlignment="1">
      <alignment horizontal="center" vertical="center"/>
    </xf>
    <xf numFmtId="49" fontId="2" fillId="3" borderId="43" xfId="2" applyNumberFormat="1" applyFont="1" applyFill="1" applyBorder="1" applyAlignment="1">
      <alignment horizontal="center" vertical="center"/>
    </xf>
    <xf numFmtId="49" fontId="2" fillId="3" borderId="2" xfId="2" applyNumberFormat="1" applyFont="1" applyFill="1" applyBorder="1" applyAlignment="1">
      <alignment horizontal="center" vertical="center"/>
    </xf>
    <xf numFmtId="49" fontId="2" fillId="3" borderId="0" xfId="2" applyNumberFormat="1" applyFont="1" applyFill="1" applyAlignment="1">
      <alignment horizontal="center" vertical="center"/>
    </xf>
    <xf numFmtId="49" fontId="2" fillId="3" borderId="44" xfId="2" applyNumberFormat="1" applyFont="1" applyFill="1" applyBorder="1" applyAlignment="1">
      <alignment horizontal="center" vertical="center"/>
    </xf>
    <xf numFmtId="49" fontId="2" fillId="3" borderId="45" xfId="2" applyNumberFormat="1" applyFont="1" applyFill="1" applyBorder="1" applyAlignment="1">
      <alignment horizontal="center" vertical="center"/>
    </xf>
    <xf numFmtId="49" fontId="2" fillId="3" borderId="46" xfId="2" applyNumberFormat="1" applyFont="1" applyFill="1" applyBorder="1" applyAlignment="1">
      <alignment horizontal="center" vertical="center"/>
    </xf>
    <xf numFmtId="49" fontId="2" fillId="3" borderId="14" xfId="2" applyNumberFormat="1" applyFont="1" applyFill="1" applyBorder="1" applyAlignment="1">
      <alignment horizontal="center" vertical="center"/>
    </xf>
    <xf numFmtId="164" fontId="6" fillId="0" borderId="84" xfId="0" applyNumberFormat="1" applyFont="1" applyBorder="1"/>
    <xf numFmtId="10" fontId="6" fillId="0" borderId="28" xfId="0" applyNumberFormat="1" applyFont="1" applyBorder="1" applyAlignment="1">
      <alignment horizontal="center" vertical="center"/>
    </xf>
    <xf numFmtId="165" fontId="7" fillId="0" borderId="85" xfId="0" applyNumberFormat="1" applyFont="1" applyBorder="1"/>
    <xf numFmtId="165" fontId="6" fillId="0" borderId="4" xfId="0" applyNumberFormat="1" applyFont="1" applyBorder="1"/>
    <xf numFmtId="165" fontId="7" fillId="2" borderId="85" xfId="0" applyNumberFormat="1" applyFont="1" applyFill="1" applyBorder="1"/>
    <xf numFmtId="0" fontId="10" fillId="0" borderId="4" xfId="0" applyFont="1" applyBorder="1"/>
    <xf numFmtId="164" fontId="7" fillId="2" borderId="85" xfId="0" applyNumberFormat="1" applyFont="1" applyFill="1" applyBorder="1"/>
    <xf numFmtId="165" fontId="6" fillId="0" borderId="4" xfId="0" applyNumberFormat="1" applyFont="1" applyBorder="1" applyAlignment="1">
      <alignment horizontal="right"/>
    </xf>
    <xf numFmtId="44" fontId="0" fillId="0" borderId="0" xfId="0" applyNumberFormat="1"/>
    <xf numFmtId="165" fontId="7" fillId="2" borderId="33" xfId="0" applyNumberFormat="1" applyFont="1" applyFill="1" applyBorder="1" applyAlignment="1">
      <alignment horizontal="right"/>
    </xf>
    <xf numFmtId="165" fontId="6" fillId="6" borderId="85" xfId="0" applyNumberFormat="1" applyFont="1" applyFill="1" applyBorder="1"/>
    <xf numFmtId="165" fontId="6" fillId="6" borderId="4" xfId="0" applyNumberFormat="1" applyFont="1" applyFill="1" applyBorder="1"/>
    <xf numFmtId="171" fontId="6" fillId="0" borderId="31" xfId="0" applyNumberFormat="1" applyFont="1" applyBorder="1"/>
    <xf numFmtId="44" fontId="21" fillId="0" borderId="0" xfId="0" applyNumberFormat="1" applyFont="1"/>
    <xf numFmtId="0" fontId="0" fillId="0" borderId="0" xfId="0" applyAlignment="1">
      <alignment horizontal="left"/>
    </xf>
    <xf numFmtId="0" fontId="18" fillId="10" borderId="0" xfId="0" applyFont="1" applyFill="1" applyAlignment="1">
      <alignment horizontal="center" vertical="center"/>
    </xf>
    <xf numFmtId="0" fontId="19" fillId="10" borderId="58" xfId="0" applyFont="1" applyFill="1" applyBorder="1" applyAlignment="1">
      <alignment wrapText="1"/>
    </xf>
    <xf numFmtId="0" fontId="19" fillId="10" borderId="59" xfId="0" applyFont="1" applyFill="1" applyBorder="1" applyAlignment="1">
      <alignment wrapText="1"/>
    </xf>
    <xf numFmtId="0" fontId="16" fillId="12" borderId="62" xfId="0" applyFont="1" applyFill="1" applyBorder="1"/>
    <xf numFmtId="0" fontId="16" fillId="12" borderId="63" xfId="0" applyFont="1" applyFill="1" applyBorder="1"/>
    <xf numFmtId="0" fontId="16" fillId="15" borderId="65" xfId="0" applyFont="1" applyFill="1" applyBorder="1"/>
    <xf numFmtId="0" fontId="16" fillId="15" borderId="66" xfId="0" applyFont="1" applyFill="1" applyBorder="1"/>
    <xf numFmtId="1" fontId="11" fillId="13" borderId="65" xfId="0" applyNumberFormat="1" applyFont="1" applyFill="1" applyBorder="1"/>
    <xf numFmtId="1" fontId="11" fillId="13" borderId="78" xfId="0" applyNumberFormat="1" applyFont="1" applyFill="1" applyBorder="1"/>
    <xf numFmtId="0" fontId="6" fillId="21" borderId="61" xfId="0" applyFont="1" applyFill="1" applyBorder="1" applyAlignment="1">
      <alignment horizontal="center" vertical="center"/>
    </xf>
    <xf numFmtId="0" fontId="6" fillId="21" borderId="69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left" vertical="center"/>
    </xf>
    <xf numFmtId="0" fontId="11" fillId="19" borderId="81" xfId="0" applyFont="1" applyFill="1" applyBorder="1" applyAlignment="1">
      <alignment horizontal="left" vertical="center"/>
    </xf>
    <xf numFmtId="0" fontId="11" fillId="19" borderId="68" xfId="0" applyFont="1" applyFill="1" applyBorder="1" applyAlignment="1">
      <alignment horizontal="left" vertical="center"/>
    </xf>
    <xf numFmtId="0" fontId="11" fillId="19" borderId="77" xfId="0" applyFont="1" applyFill="1" applyBorder="1" applyAlignment="1">
      <alignment horizontal="left" vertical="center"/>
    </xf>
    <xf numFmtId="0" fontId="11" fillId="20" borderId="80" xfId="0" applyFont="1" applyFill="1" applyBorder="1" applyAlignment="1">
      <alignment horizontal="left" vertical="center"/>
    </xf>
    <xf numFmtId="0" fontId="11" fillId="20" borderId="81" xfId="0" applyFont="1" applyFill="1" applyBorder="1" applyAlignment="1">
      <alignment horizontal="left" vertical="center"/>
    </xf>
    <xf numFmtId="0" fontId="11" fillId="20" borderId="68" xfId="0" applyFont="1" applyFill="1" applyBorder="1" applyAlignment="1">
      <alignment horizontal="left" vertical="center"/>
    </xf>
    <xf numFmtId="0" fontId="11" fillId="20" borderId="77" xfId="0" applyFont="1" applyFill="1" applyBorder="1" applyAlignment="1">
      <alignment horizontal="left" vertical="center"/>
    </xf>
    <xf numFmtId="0" fontId="11" fillId="16" borderId="80" xfId="0" applyFont="1" applyFill="1" applyBorder="1" applyAlignment="1">
      <alignment horizontal="left" vertical="center"/>
    </xf>
    <xf numFmtId="0" fontId="11" fillId="16" borderId="81" xfId="0" applyFont="1" applyFill="1" applyBorder="1" applyAlignment="1">
      <alignment horizontal="left" vertical="center"/>
    </xf>
    <xf numFmtId="0" fontId="11" fillId="16" borderId="68" xfId="0" applyFont="1" applyFill="1" applyBorder="1" applyAlignment="1">
      <alignment horizontal="left" vertical="center"/>
    </xf>
    <xf numFmtId="0" fontId="11" fillId="16" borderId="77" xfId="0" applyFont="1" applyFill="1" applyBorder="1" applyAlignment="1">
      <alignment horizontal="left" vertical="center"/>
    </xf>
    <xf numFmtId="0" fontId="6" fillId="17" borderId="61" xfId="0" applyFont="1" applyFill="1" applyBorder="1" applyAlignment="1">
      <alignment horizontal="center" vertical="center"/>
    </xf>
    <xf numFmtId="0" fontId="6" fillId="17" borderId="70" xfId="0" applyFont="1" applyFill="1" applyBorder="1" applyAlignment="1">
      <alignment horizontal="center" vertical="center"/>
    </xf>
    <xf numFmtId="0" fontId="11" fillId="0" borderId="67" xfId="0" applyFont="1" applyBorder="1"/>
    <xf numFmtId="0" fontId="11" fillId="0" borderId="0" xfId="0" applyFont="1"/>
    <xf numFmtId="0" fontId="11" fillId="13" borderId="67" xfId="0" applyFont="1" applyFill="1" applyBorder="1"/>
    <xf numFmtId="0" fontId="11" fillId="13" borderId="0" xfId="0" applyFont="1" applyFill="1"/>
    <xf numFmtId="0" fontId="11" fillId="0" borderId="68" xfId="0" applyFont="1" applyBorder="1"/>
    <xf numFmtId="0" fontId="11" fillId="0" borderId="77" xfId="0" applyFont="1" applyBorder="1"/>
    <xf numFmtId="0" fontId="16" fillId="18" borderId="61" xfId="0" applyFont="1" applyFill="1" applyBorder="1" applyAlignment="1">
      <alignment horizontal="center" vertical="center"/>
    </xf>
    <xf numFmtId="0" fontId="16" fillId="18" borderId="69" xfId="0" applyFont="1" applyFill="1" applyBorder="1" applyAlignment="1">
      <alignment horizontal="center" vertical="center"/>
    </xf>
    <xf numFmtId="0" fontId="16" fillId="20" borderId="61" xfId="0" applyFont="1" applyFill="1" applyBorder="1" applyAlignment="1">
      <alignment horizontal="center" vertical="center"/>
    </xf>
    <xf numFmtId="0" fontId="16" fillId="20" borderId="69" xfId="0" applyFont="1" applyFill="1" applyBorder="1" applyAlignment="1">
      <alignment horizontal="center" vertical="center"/>
    </xf>
    <xf numFmtId="0" fontId="16" fillId="20" borderId="70" xfId="0" applyFont="1" applyFill="1" applyBorder="1" applyAlignment="1">
      <alignment horizontal="center" vertical="center"/>
    </xf>
    <xf numFmtId="0" fontId="16" fillId="0" borderId="65" xfId="0" applyFont="1" applyBorder="1"/>
    <xf numFmtId="0" fontId="16" fillId="0" borderId="66" xfId="0" applyFont="1" applyBorder="1"/>
    <xf numFmtId="0" fontId="9" fillId="3" borderId="49" xfId="0" applyFont="1" applyFill="1" applyBorder="1" applyAlignment="1">
      <alignment horizontal="center" vertical="center"/>
    </xf>
    <xf numFmtId="0" fontId="9" fillId="3" borderId="50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9" fontId="4" fillId="0" borderId="28" xfId="0" applyNumberFormat="1" applyFont="1" applyBorder="1" applyAlignment="1">
      <alignment horizontal="center" vertical="center"/>
    </xf>
    <xf numFmtId="9" fontId="4" fillId="0" borderId="29" xfId="0" applyNumberFormat="1" applyFont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9" fontId="6" fillId="0" borderId="28" xfId="0" applyNumberFormat="1" applyFont="1" applyBorder="1" applyAlignment="1">
      <alignment horizontal="center" vertical="center"/>
    </xf>
    <xf numFmtId="9" fontId="6" fillId="0" borderId="29" xfId="0" applyNumberFormat="1" applyFont="1" applyBorder="1" applyAlignment="1">
      <alignment horizontal="center" vertical="center"/>
    </xf>
    <xf numFmtId="9" fontId="2" fillId="5" borderId="6" xfId="0" applyNumberFormat="1" applyFont="1" applyFill="1" applyBorder="1" applyAlignment="1">
      <alignment horizontal="center" vertical="center"/>
    </xf>
    <xf numFmtId="9" fontId="6" fillId="0" borderId="25" xfId="0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9" fontId="2" fillId="5" borderId="34" xfId="0" applyNumberFormat="1" applyFont="1" applyFill="1" applyBorder="1" applyAlignment="1">
      <alignment horizontal="center" vertical="center"/>
    </xf>
    <xf numFmtId="9" fontId="4" fillId="0" borderId="25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9" fontId="2" fillId="5" borderId="11" xfId="0" applyNumberFormat="1" applyFont="1" applyFill="1" applyBorder="1" applyAlignment="1">
      <alignment horizontal="center" vertical="center"/>
    </xf>
  </cellXfs>
  <cellStyles count="5">
    <cellStyle name="Comma 2" xfId="4" xr:uid="{E90E70C3-6C8E-4EC3-9C0B-F18DB2C2A7D7}"/>
    <cellStyle name="Normal" xfId="0" builtinId="0"/>
    <cellStyle name="Normal_MYOB" xfId="3" xr:uid="{3F8EEA61-47A2-4A67-9116-6CE22C002820}"/>
    <cellStyle name="Normal_Sheet1" xfId="2" xr:uid="{77CCDF5F-5127-4772-B068-E0F5849303E0}"/>
    <cellStyle name="Percent" xfId="1" builtinId="5"/>
  </cellStyles>
  <dxfs count="2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fgColor theme="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3366FF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8BF-4D8F-48BA-B5D0-9A927C30567F}">
  <dimension ref="A1:P35"/>
  <sheetViews>
    <sheetView tabSelected="1" workbookViewId="0">
      <selection activeCell="A2" sqref="A2:O2"/>
    </sheetView>
  </sheetViews>
  <sheetFormatPr defaultRowHeight="15" x14ac:dyDescent="0.25"/>
  <cols>
    <col min="1" max="1" width="15.7109375" customWidth="1"/>
    <col min="2" max="2" width="20.85546875" customWidth="1"/>
    <col min="3" max="3" width="15.7109375" customWidth="1"/>
    <col min="4" max="4" width="17.5703125" bestFit="1" customWidth="1"/>
    <col min="5" max="15" width="15.7109375" customWidth="1"/>
  </cols>
  <sheetData>
    <row r="1" spans="1:16" ht="15.75" x14ac:dyDescent="0.25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</row>
    <row r="2" spans="1:16" ht="23.25" x14ac:dyDescent="0.25">
      <c r="A2" s="260" t="s">
        <v>160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149"/>
    </row>
    <row r="3" spans="1:16" ht="10.5" customHeight="1" thickBot="1" x14ac:dyDescent="0.3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16" ht="17.25" thickTop="1" thickBot="1" x14ac:dyDescent="0.3">
      <c r="A4" s="261" t="s">
        <v>77</v>
      </c>
      <c r="B4" s="262"/>
      <c r="C4" s="178">
        <v>45839</v>
      </c>
      <c r="D4" s="178">
        <v>45870</v>
      </c>
      <c r="E4" s="178">
        <v>45901</v>
      </c>
      <c r="F4" s="178">
        <v>45931</v>
      </c>
      <c r="G4" s="178">
        <v>45962</v>
      </c>
      <c r="H4" s="178">
        <v>45992</v>
      </c>
      <c r="I4" s="178">
        <v>46023</v>
      </c>
      <c r="J4" s="178">
        <v>46054</v>
      </c>
      <c r="K4" s="178">
        <v>46082</v>
      </c>
      <c r="L4" s="178">
        <v>46113</v>
      </c>
      <c r="M4" s="178">
        <v>46143</v>
      </c>
      <c r="N4" s="178">
        <v>46174</v>
      </c>
      <c r="O4" s="150" t="s">
        <v>0</v>
      </c>
      <c r="P4" s="151"/>
    </row>
    <row r="5" spans="1:16" ht="17.25" thickTop="1" thickBot="1" x14ac:dyDescent="0.3">
      <c r="A5" s="263" t="s">
        <v>101</v>
      </c>
      <c r="B5" s="264"/>
      <c r="C5" s="214"/>
      <c r="D5" s="215"/>
      <c r="E5" s="215" t="s">
        <v>78</v>
      </c>
      <c r="F5" s="215" t="s">
        <v>78</v>
      </c>
      <c r="G5" s="215" t="s">
        <v>78</v>
      </c>
      <c r="H5" s="215" t="s">
        <v>78</v>
      </c>
      <c r="I5" s="215" t="s">
        <v>78</v>
      </c>
      <c r="J5" s="215" t="s">
        <v>78</v>
      </c>
      <c r="K5" s="215" t="s">
        <v>78</v>
      </c>
      <c r="L5" s="215" t="s">
        <v>78</v>
      </c>
      <c r="M5" s="215" t="s">
        <v>78</v>
      </c>
      <c r="N5" s="215" t="s">
        <v>78</v>
      </c>
      <c r="O5" s="152" t="s">
        <v>78</v>
      </c>
      <c r="P5" s="149"/>
    </row>
    <row r="6" spans="1:16" ht="15.75" x14ac:dyDescent="0.25">
      <c r="A6" s="271" t="s">
        <v>104</v>
      </c>
      <c r="B6" s="272"/>
      <c r="C6" s="194">
        <v>1350599.75</v>
      </c>
      <c r="D6" s="189">
        <v>1039303.87</v>
      </c>
      <c r="E6" s="189">
        <v>1184140.2381</v>
      </c>
      <c r="F6" s="189">
        <v>69196</v>
      </c>
      <c r="G6" s="189"/>
      <c r="H6" s="189"/>
      <c r="I6" s="189"/>
      <c r="J6" s="189"/>
      <c r="K6" s="189"/>
      <c r="L6" s="189"/>
      <c r="M6" s="189"/>
      <c r="N6" s="189"/>
      <c r="O6" s="186">
        <f>SUM(C6:N6)</f>
        <v>3643239.8580999998</v>
      </c>
      <c r="P6" s="149"/>
    </row>
    <row r="7" spans="1:16" ht="16.5" thickBot="1" x14ac:dyDescent="0.3">
      <c r="A7" s="273"/>
      <c r="B7" s="274"/>
      <c r="C7" s="193">
        <f>C6/C13</f>
        <v>0.79884070601751034</v>
      </c>
      <c r="D7" s="193">
        <v>0.83398499553194194</v>
      </c>
      <c r="E7" s="193">
        <v>0.83818735840048209</v>
      </c>
      <c r="F7" s="193">
        <f>F6/F12</f>
        <v>0.84004273296751319</v>
      </c>
      <c r="G7" s="190" t="e">
        <f>G6/#REF!</f>
        <v>#REF!</v>
      </c>
      <c r="H7" s="190" t="e">
        <f>H6/#REF!</f>
        <v>#REF!</v>
      </c>
      <c r="I7" s="190" t="e">
        <f>I6/#REF!</f>
        <v>#REF!</v>
      </c>
      <c r="J7" s="190" t="e">
        <f>J6/#REF!</f>
        <v>#REF!</v>
      </c>
      <c r="K7" s="190" t="e">
        <f>K6/#REF!</f>
        <v>#REF!</v>
      </c>
      <c r="L7" s="190" t="e">
        <f>L6/#REF!</f>
        <v>#REF!</v>
      </c>
      <c r="M7" s="190" t="e">
        <f>M6/#REF!</f>
        <v>#REF!</v>
      </c>
      <c r="N7" s="190" t="e">
        <f>N6/#REF!</f>
        <v>#REF!</v>
      </c>
      <c r="O7" s="187" t="e">
        <f t="shared" ref="O7:O10" si="0">SUM(C7:N7)</f>
        <v>#REF!</v>
      </c>
      <c r="P7" s="149"/>
    </row>
    <row r="8" spans="1:16" ht="15.75" x14ac:dyDescent="0.25">
      <c r="A8" s="275" t="s">
        <v>103</v>
      </c>
      <c r="B8" s="276"/>
      <c r="C8" s="195">
        <v>340099.96</v>
      </c>
      <c r="D8" s="191">
        <v>198913.26</v>
      </c>
      <c r="E8" s="191">
        <v>76883</v>
      </c>
      <c r="F8" s="191">
        <v>12047</v>
      </c>
      <c r="G8" s="191"/>
      <c r="H8" s="191"/>
      <c r="I8" s="191"/>
      <c r="J8" s="191"/>
      <c r="K8" s="191"/>
      <c r="L8" s="191"/>
      <c r="M8" s="191"/>
      <c r="N8" s="191"/>
      <c r="O8" s="186">
        <f t="shared" si="0"/>
        <v>627943.22</v>
      </c>
      <c r="P8" s="149"/>
    </row>
    <row r="9" spans="1:16" ht="16.5" thickBot="1" x14ac:dyDescent="0.3">
      <c r="A9" s="277"/>
      <c r="B9" s="278"/>
      <c r="C9" s="196">
        <f>C8/C13</f>
        <v>0.20115929398248966</v>
      </c>
      <c r="D9" s="196">
        <v>0.15961710433383069</v>
      </c>
      <c r="E9" s="196">
        <v>5.3744378835551276E-2</v>
      </c>
      <c r="F9" s="196">
        <f>F8/F12</f>
        <v>0.14625115330452096</v>
      </c>
      <c r="G9" s="192"/>
      <c r="H9" s="192"/>
      <c r="I9" s="192"/>
      <c r="J9" s="192"/>
      <c r="K9" s="192"/>
      <c r="L9" s="192"/>
      <c r="M9" s="192"/>
      <c r="N9" s="192"/>
      <c r="O9" s="187"/>
      <c r="P9" s="149"/>
    </row>
    <row r="10" spans="1:16" ht="15.75" x14ac:dyDescent="0.25">
      <c r="A10" s="279" t="s">
        <v>99</v>
      </c>
      <c r="B10" s="280"/>
      <c r="C10" s="195">
        <v>0</v>
      </c>
      <c r="D10" s="195">
        <v>7973</v>
      </c>
      <c r="E10" s="195">
        <v>154595</v>
      </c>
      <c r="F10" s="195">
        <v>1129</v>
      </c>
      <c r="G10" s="191"/>
      <c r="H10" s="191"/>
      <c r="I10" s="191"/>
      <c r="J10" s="191"/>
      <c r="K10" s="191"/>
      <c r="L10" s="191"/>
      <c r="M10" s="191"/>
      <c r="N10" s="191"/>
      <c r="O10" s="186">
        <f t="shared" si="0"/>
        <v>163697</v>
      </c>
      <c r="P10" s="149"/>
    </row>
    <row r="11" spans="1:16" ht="16.5" thickBot="1" x14ac:dyDescent="0.3">
      <c r="A11" s="281"/>
      <c r="B11" s="282"/>
      <c r="C11" s="196">
        <f>C10/C14</f>
        <v>0</v>
      </c>
      <c r="D11" s="196">
        <v>5.2893555451326716E-3</v>
      </c>
      <c r="E11" s="196">
        <v>0.10806826276396667</v>
      </c>
      <c r="F11" s="196">
        <f>F10/F12</f>
        <v>1.3706113727965813E-2</v>
      </c>
      <c r="G11" s="193" t="e">
        <f>#REF!/G10</f>
        <v>#REF!</v>
      </c>
      <c r="H11" s="193" t="e">
        <f>#REF!/H10</f>
        <v>#REF!</v>
      </c>
      <c r="I11" s="193" t="e">
        <f>#REF!/I10</f>
        <v>#REF!</v>
      </c>
      <c r="J11" s="193" t="e">
        <f>#REF!/J10</f>
        <v>#REF!</v>
      </c>
      <c r="K11" s="193" t="e">
        <f>#REF!/K10</f>
        <v>#REF!</v>
      </c>
      <c r="L11" s="193" t="e">
        <f>#REF!/L10</f>
        <v>#REF!</v>
      </c>
      <c r="M11" s="193" t="e">
        <f>#REF!/M10</f>
        <v>#REF!</v>
      </c>
      <c r="N11" s="193" t="e">
        <f>#REF!/N10</f>
        <v>#REF!</v>
      </c>
      <c r="O11" s="188" t="e">
        <f>#REF!/O10</f>
        <v>#REF!</v>
      </c>
      <c r="P11" s="149"/>
    </row>
    <row r="12" spans="1:16" ht="16.5" thickBot="1" x14ac:dyDescent="0.3">
      <c r="A12" s="265" t="s">
        <v>100</v>
      </c>
      <c r="B12" s="266"/>
      <c r="C12" s="210" t="s">
        <v>107</v>
      </c>
      <c r="D12" s="210" t="s">
        <v>107</v>
      </c>
      <c r="E12" s="210" t="s">
        <v>107</v>
      </c>
      <c r="F12" s="210">
        <f>SUM(F10+F8+F6)</f>
        <v>82372</v>
      </c>
      <c r="G12" s="210"/>
      <c r="H12" s="210"/>
      <c r="I12" s="210"/>
      <c r="J12" s="210"/>
      <c r="K12" s="210"/>
      <c r="L12" s="210"/>
      <c r="M12" s="210"/>
      <c r="N12" s="210"/>
      <c r="O12" s="211"/>
      <c r="P12" s="149"/>
    </row>
    <row r="13" spans="1:16" ht="16.5" thickBot="1" x14ac:dyDescent="0.3">
      <c r="A13" s="296" t="s">
        <v>106</v>
      </c>
      <c r="B13" s="297"/>
      <c r="C13" s="216">
        <v>1690699.71</v>
      </c>
      <c r="D13" s="216">
        <v>1246190.1322999999</v>
      </c>
      <c r="E13" s="216">
        <v>1415618.2381</v>
      </c>
      <c r="F13" s="212">
        <v>4553</v>
      </c>
      <c r="G13" s="212">
        <f>'25-26 Budget-Actual Invoiced'!I229</f>
        <v>0</v>
      </c>
      <c r="H13" s="212">
        <f>'25-26 Budget-Actual Invoiced'!J229</f>
        <v>0</v>
      </c>
      <c r="I13" s="212">
        <f>'25-26 Budget-Actual Invoiced'!K229</f>
        <v>0</v>
      </c>
      <c r="J13" s="212">
        <f>'25-26 Budget-Actual Invoiced'!L229</f>
        <v>0</v>
      </c>
      <c r="K13" s="212">
        <f>'25-26 Budget-Actual Invoiced'!M229</f>
        <v>0</v>
      </c>
      <c r="L13" s="212">
        <f>'25-26 Budget-Actual Invoiced'!N229</f>
        <v>0</v>
      </c>
      <c r="M13" s="212">
        <f>'25-26 Budget-Actual Invoiced'!O229</f>
        <v>0</v>
      </c>
      <c r="N13" s="212">
        <f>'25-26 Budget-Actual Invoiced'!P229</f>
        <v>0</v>
      </c>
      <c r="O13" s="213">
        <f>SUM(C13:N13)</f>
        <v>4357061.0803999994</v>
      </c>
      <c r="P13" s="149"/>
    </row>
    <row r="14" spans="1:16" s="181" customFormat="1" ht="16.5" thickBot="1" x14ac:dyDescent="0.3">
      <c r="A14" s="267" t="s">
        <v>1</v>
      </c>
      <c r="B14" s="268"/>
      <c r="C14" s="182">
        <v>1435665</v>
      </c>
      <c r="D14" s="182">
        <v>1507367</v>
      </c>
      <c r="E14" s="182">
        <v>1732767</v>
      </c>
      <c r="F14" s="182">
        <v>1157167</v>
      </c>
      <c r="G14" s="182">
        <v>1168617</v>
      </c>
      <c r="H14" s="182">
        <v>1082167</v>
      </c>
      <c r="I14" s="182">
        <v>1077167</v>
      </c>
      <c r="J14" s="182">
        <v>1196667</v>
      </c>
      <c r="K14" s="182">
        <v>1630917</v>
      </c>
      <c r="L14" s="182">
        <v>1429367</v>
      </c>
      <c r="M14" s="182">
        <v>1255817</v>
      </c>
      <c r="N14" s="183">
        <v>1327815</v>
      </c>
      <c r="O14" s="184">
        <f>SUM(C14:N14)</f>
        <v>16001500</v>
      </c>
      <c r="P14" s="180"/>
    </row>
    <row r="15" spans="1:16" ht="15.75" x14ac:dyDescent="0.25">
      <c r="A15" s="285" t="s">
        <v>2</v>
      </c>
      <c r="B15" s="286"/>
      <c r="C15" s="160">
        <f>C13/C14</f>
        <v>1.1776422145834857</v>
      </c>
      <c r="D15" s="160">
        <f>D13/D14</f>
        <v>0.82673305989848522</v>
      </c>
      <c r="E15" s="160">
        <f>E13/E14</f>
        <v>0.81696975883081802</v>
      </c>
      <c r="F15" s="160">
        <f t="shared" ref="F15:O15" si="1">F12/F14</f>
        <v>7.1184193811264923E-2</v>
      </c>
      <c r="G15" s="160">
        <f t="shared" si="1"/>
        <v>0</v>
      </c>
      <c r="H15" s="160">
        <f t="shared" si="1"/>
        <v>0</v>
      </c>
      <c r="I15" s="160">
        <f t="shared" si="1"/>
        <v>0</v>
      </c>
      <c r="J15" s="160">
        <f t="shared" si="1"/>
        <v>0</v>
      </c>
      <c r="K15" s="160">
        <f t="shared" si="1"/>
        <v>0</v>
      </c>
      <c r="L15" s="160">
        <f t="shared" si="1"/>
        <v>0</v>
      </c>
      <c r="M15" s="160">
        <f t="shared" si="1"/>
        <v>0</v>
      </c>
      <c r="N15" s="160">
        <f t="shared" si="1"/>
        <v>0</v>
      </c>
      <c r="O15" s="209">
        <f t="shared" si="1"/>
        <v>0</v>
      </c>
      <c r="P15" s="149"/>
    </row>
    <row r="16" spans="1:16" ht="15.75" x14ac:dyDescent="0.25">
      <c r="A16" s="287" t="s">
        <v>3</v>
      </c>
      <c r="B16" s="288"/>
      <c r="C16" s="161">
        <f>C13-C14</f>
        <v>255034.70999999996</v>
      </c>
      <c r="D16" s="161">
        <f>D13-D14</f>
        <v>-261176.86770000006</v>
      </c>
      <c r="E16" s="161">
        <f>E13-E14</f>
        <v>-317148.76190000004</v>
      </c>
      <c r="F16" s="161">
        <f t="shared" ref="F16:N16" si="2">F12-F14</f>
        <v>-1074795</v>
      </c>
      <c r="G16" s="161">
        <f t="shared" si="2"/>
        <v>-1168617</v>
      </c>
      <c r="H16" s="161">
        <f t="shared" si="2"/>
        <v>-1082167</v>
      </c>
      <c r="I16" s="161">
        <f t="shared" si="2"/>
        <v>-1077167</v>
      </c>
      <c r="J16" s="161">
        <f t="shared" si="2"/>
        <v>-1196667</v>
      </c>
      <c r="K16" s="161">
        <f t="shared" si="2"/>
        <v>-1630917</v>
      </c>
      <c r="L16" s="161">
        <f t="shared" si="2"/>
        <v>-1429367</v>
      </c>
      <c r="M16" s="161">
        <f t="shared" si="2"/>
        <v>-1255817</v>
      </c>
      <c r="N16" s="161">
        <f t="shared" si="2"/>
        <v>-1327815</v>
      </c>
      <c r="O16" s="162">
        <f>SUM(C16:N16)</f>
        <v>-11566619.919600001</v>
      </c>
      <c r="P16" s="151"/>
    </row>
    <row r="17" spans="1:16" ht="16.5" thickBot="1" x14ac:dyDescent="0.3">
      <c r="A17" s="289" t="s">
        <v>4</v>
      </c>
      <c r="B17" s="290"/>
      <c r="C17" s="163">
        <f t="shared" ref="C17:O17" si="3">C16/C14</f>
        <v>0.17764221458348567</v>
      </c>
      <c r="D17" s="163">
        <f t="shared" ref="D17" si="4">D16/D14</f>
        <v>-0.1732669401015148</v>
      </c>
      <c r="E17" s="163">
        <f>E16/E14</f>
        <v>-0.18303024116918204</v>
      </c>
      <c r="F17" s="163">
        <f t="shared" si="3"/>
        <v>-0.92881580618873505</v>
      </c>
      <c r="G17" s="163">
        <f t="shared" si="3"/>
        <v>-1</v>
      </c>
      <c r="H17" s="163">
        <f t="shared" si="3"/>
        <v>-1</v>
      </c>
      <c r="I17" s="163">
        <f t="shared" si="3"/>
        <v>-1</v>
      </c>
      <c r="J17" s="163">
        <f t="shared" si="3"/>
        <v>-1</v>
      </c>
      <c r="K17" s="163">
        <f t="shared" si="3"/>
        <v>-1</v>
      </c>
      <c r="L17" s="163">
        <f t="shared" si="3"/>
        <v>-1</v>
      </c>
      <c r="M17" s="163">
        <f t="shared" si="3"/>
        <v>-1</v>
      </c>
      <c r="N17" s="163">
        <f t="shared" si="3"/>
        <v>-1</v>
      </c>
      <c r="O17" s="164">
        <f t="shared" si="3"/>
        <v>-0.7228459781645471</v>
      </c>
      <c r="P17" s="151"/>
    </row>
    <row r="18" spans="1:16" ht="9.75" customHeight="1" thickBot="1" x14ac:dyDescent="0.3">
      <c r="A18" s="179"/>
      <c r="B18" s="179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51"/>
    </row>
    <row r="19" spans="1:16" ht="16.5" thickTop="1" x14ac:dyDescent="0.25">
      <c r="A19" s="291" t="s">
        <v>79</v>
      </c>
      <c r="B19" s="197" t="s">
        <v>80</v>
      </c>
      <c r="C19" s="155">
        <v>0</v>
      </c>
      <c r="D19" s="155">
        <v>0</v>
      </c>
      <c r="E19" s="168">
        <v>0</v>
      </c>
      <c r="F19" s="168">
        <v>472033</v>
      </c>
      <c r="G19" s="168">
        <v>0</v>
      </c>
      <c r="H19" s="168">
        <v>0</v>
      </c>
      <c r="I19" s="168">
        <v>0</v>
      </c>
      <c r="J19" s="168">
        <v>0</v>
      </c>
      <c r="K19" s="168">
        <v>0</v>
      </c>
      <c r="L19" s="168">
        <v>0</v>
      </c>
      <c r="M19" s="168">
        <v>0</v>
      </c>
      <c r="N19" s="173">
        <v>0</v>
      </c>
      <c r="O19" s="175">
        <f>SUM(C19:N19)</f>
        <v>472033</v>
      </c>
      <c r="P19" s="156"/>
    </row>
    <row r="20" spans="1:16" ht="15.75" x14ac:dyDescent="0.25">
      <c r="A20" s="292"/>
      <c r="B20" s="198" t="s">
        <v>81</v>
      </c>
      <c r="C20" s="165">
        <v>0</v>
      </c>
      <c r="D20" s="165">
        <v>0</v>
      </c>
      <c r="E20" s="165">
        <v>0</v>
      </c>
      <c r="F20" s="165">
        <v>1444</v>
      </c>
      <c r="G20" s="165">
        <v>0</v>
      </c>
      <c r="H20" s="165">
        <v>0</v>
      </c>
      <c r="I20" s="165">
        <v>0</v>
      </c>
      <c r="J20" s="165">
        <v>0</v>
      </c>
      <c r="K20" s="165">
        <v>0</v>
      </c>
      <c r="L20" s="165">
        <v>0</v>
      </c>
      <c r="M20" s="165">
        <v>0</v>
      </c>
      <c r="N20" s="170">
        <v>0</v>
      </c>
      <c r="O20" s="176">
        <f t="shared" ref="O20:O34" si="5">SUM(C20:N20)</f>
        <v>1444</v>
      </c>
      <c r="P20" s="158"/>
    </row>
    <row r="21" spans="1:16" ht="15.75" x14ac:dyDescent="0.25">
      <c r="A21" s="292"/>
      <c r="B21" s="199" t="s">
        <v>82</v>
      </c>
      <c r="C21" s="169">
        <v>0</v>
      </c>
      <c r="D21" s="169">
        <v>0</v>
      </c>
      <c r="E21" s="169">
        <v>0</v>
      </c>
      <c r="F21" s="169">
        <v>62795</v>
      </c>
      <c r="G21" s="169">
        <v>0</v>
      </c>
      <c r="H21" s="169">
        <v>0</v>
      </c>
      <c r="I21" s="169">
        <v>0</v>
      </c>
      <c r="J21" s="169">
        <v>0</v>
      </c>
      <c r="K21" s="169">
        <v>0</v>
      </c>
      <c r="L21" s="169">
        <v>0</v>
      </c>
      <c r="M21" s="169">
        <v>0</v>
      </c>
      <c r="N21" s="171">
        <v>0</v>
      </c>
      <c r="O21" s="176">
        <f t="shared" si="5"/>
        <v>62795</v>
      </c>
      <c r="P21" s="156"/>
    </row>
    <row r="22" spans="1:16" ht="15.75" x14ac:dyDescent="0.25">
      <c r="A22" s="292"/>
      <c r="B22" s="200" t="s">
        <v>83</v>
      </c>
      <c r="C22" s="165">
        <v>0</v>
      </c>
      <c r="D22" s="165">
        <v>0</v>
      </c>
      <c r="E22" s="165">
        <v>0</v>
      </c>
      <c r="F22" s="165">
        <v>352</v>
      </c>
      <c r="G22" s="165">
        <v>0</v>
      </c>
      <c r="H22" s="165">
        <v>0</v>
      </c>
      <c r="I22" s="165">
        <v>0</v>
      </c>
      <c r="J22" s="165">
        <v>0</v>
      </c>
      <c r="K22" s="165">
        <v>0</v>
      </c>
      <c r="L22" s="165">
        <v>0</v>
      </c>
      <c r="M22" s="165">
        <v>0</v>
      </c>
      <c r="N22" s="170">
        <v>0</v>
      </c>
      <c r="O22" s="176">
        <f t="shared" si="5"/>
        <v>352</v>
      </c>
      <c r="P22" s="158"/>
    </row>
    <row r="23" spans="1:16" ht="15.75" x14ac:dyDescent="0.25">
      <c r="A23" s="292"/>
      <c r="B23" s="199" t="s">
        <v>84</v>
      </c>
      <c r="C23" s="169">
        <v>0</v>
      </c>
      <c r="D23" s="169">
        <v>0</v>
      </c>
      <c r="E23" s="169">
        <v>0</v>
      </c>
      <c r="F23" s="169">
        <v>104591</v>
      </c>
      <c r="G23" s="169">
        <v>0</v>
      </c>
      <c r="H23" s="169">
        <v>0</v>
      </c>
      <c r="I23" s="169">
        <v>0</v>
      </c>
      <c r="J23" s="169">
        <v>0</v>
      </c>
      <c r="K23" s="169">
        <v>0</v>
      </c>
      <c r="L23" s="169">
        <v>0</v>
      </c>
      <c r="M23" s="169">
        <v>0</v>
      </c>
      <c r="N23" s="171">
        <v>0</v>
      </c>
      <c r="O23" s="176">
        <f t="shared" si="5"/>
        <v>104591</v>
      </c>
      <c r="P23" s="156"/>
    </row>
    <row r="24" spans="1:16" ht="16.5" thickBot="1" x14ac:dyDescent="0.3">
      <c r="A24" s="292"/>
      <c r="B24" s="201" t="s">
        <v>85</v>
      </c>
      <c r="C24" s="166">
        <v>0</v>
      </c>
      <c r="D24" s="166">
        <v>0</v>
      </c>
      <c r="E24" s="166">
        <v>0</v>
      </c>
      <c r="F24" s="166">
        <v>78</v>
      </c>
      <c r="G24" s="166">
        <v>0</v>
      </c>
      <c r="H24" s="166">
        <v>0</v>
      </c>
      <c r="I24" s="166">
        <v>0</v>
      </c>
      <c r="J24" s="166">
        <v>0</v>
      </c>
      <c r="K24" s="166">
        <v>0</v>
      </c>
      <c r="L24" s="166">
        <v>0</v>
      </c>
      <c r="M24" s="166">
        <v>0</v>
      </c>
      <c r="N24" s="172">
        <v>0</v>
      </c>
      <c r="O24" s="177">
        <f t="shared" si="5"/>
        <v>78</v>
      </c>
      <c r="P24" s="158"/>
    </row>
    <row r="25" spans="1:16" ht="16.5" thickTop="1" x14ac:dyDescent="0.25">
      <c r="A25" s="293" t="s">
        <v>86</v>
      </c>
      <c r="B25" s="197" t="s">
        <v>80</v>
      </c>
      <c r="C25" s="168">
        <v>0</v>
      </c>
      <c r="D25" s="168">
        <v>0</v>
      </c>
      <c r="E25" s="168">
        <v>0</v>
      </c>
      <c r="F25" s="168">
        <v>133492</v>
      </c>
      <c r="G25" s="168">
        <v>0</v>
      </c>
      <c r="H25" s="168">
        <v>0</v>
      </c>
      <c r="I25" s="168">
        <v>0</v>
      </c>
      <c r="J25" s="168">
        <v>0</v>
      </c>
      <c r="K25" s="168">
        <v>0</v>
      </c>
      <c r="L25" s="168">
        <v>0</v>
      </c>
      <c r="M25" s="168">
        <v>0</v>
      </c>
      <c r="N25" s="173">
        <v>0</v>
      </c>
      <c r="O25" s="175">
        <f t="shared" si="5"/>
        <v>133492</v>
      </c>
      <c r="P25" s="157"/>
    </row>
    <row r="26" spans="1:16" ht="15.75" x14ac:dyDescent="0.25">
      <c r="A26" s="294"/>
      <c r="B26" s="200" t="s">
        <v>81</v>
      </c>
      <c r="C26" s="165">
        <v>0</v>
      </c>
      <c r="D26" s="165">
        <v>0</v>
      </c>
      <c r="E26" s="165">
        <v>0</v>
      </c>
      <c r="F26" s="165">
        <v>759</v>
      </c>
      <c r="G26" s="165">
        <v>0</v>
      </c>
      <c r="H26" s="165">
        <v>0</v>
      </c>
      <c r="I26" s="165">
        <v>0</v>
      </c>
      <c r="J26" s="165">
        <v>0</v>
      </c>
      <c r="K26" s="165">
        <v>0</v>
      </c>
      <c r="L26" s="165">
        <v>0</v>
      </c>
      <c r="M26" s="165">
        <v>0</v>
      </c>
      <c r="N26" s="170">
        <v>0</v>
      </c>
      <c r="O26" s="176">
        <f t="shared" si="5"/>
        <v>759</v>
      </c>
      <c r="P26" s="159"/>
    </row>
    <row r="27" spans="1:16" ht="15.75" x14ac:dyDescent="0.25">
      <c r="A27" s="294"/>
      <c r="B27" s="199" t="s">
        <v>82</v>
      </c>
      <c r="C27" s="169">
        <v>0</v>
      </c>
      <c r="D27" s="169">
        <v>0</v>
      </c>
      <c r="E27" s="169">
        <v>0</v>
      </c>
      <c r="F27" s="169">
        <v>29677</v>
      </c>
      <c r="G27" s="169">
        <v>0</v>
      </c>
      <c r="H27" s="169">
        <v>0</v>
      </c>
      <c r="I27" s="169"/>
      <c r="J27" s="169">
        <v>0</v>
      </c>
      <c r="K27" s="169">
        <v>0</v>
      </c>
      <c r="L27" s="169">
        <v>0</v>
      </c>
      <c r="M27" s="169">
        <v>0</v>
      </c>
      <c r="N27" s="171">
        <v>0</v>
      </c>
      <c r="O27" s="176">
        <f t="shared" si="5"/>
        <v>29677</v>
      </c>
      <c r="P27" s="157"/>
    </row>
    <row r="28" spans="1:16" ht="16.5" thickBot="1" x14ac:dyDescent="0.3">
      <c r="A28" s="295"/>
      <c r="B28" s="202" t="s">
        <v>83</v>
      </c>
      <c r="C28" s="167">
        <v>0</v>
      </c>
      <c r="D28" s="167">
        <v>0</v>
      </c>
      <c r="E28" s="167">
        <v>0</v>
      </c>
      <c r="F28" s="167">
        <v>187</v>
      </c>
      <c r="G28" s="167">
        <v>0</v>
      </c>
      <c r="H28" s="167">
        <v>0</v>
      </c>
      <c r="I28" s="167"/>
      <c r="J28" s="167">
        <v>0</v>
      </c>
      <c r="K28" s="167">
        <v>0</v>
      </c>
      <c r="L28" s="167">
        <v>0</v>
      </c>
      <c r="M28" s="167">
        <v>0</v>
      </c>
      <c r="N28" s="174">
        <v>0</v>
      </c>
      <c r="O28" s="177">
        <f t="shared" si="5"/>
        <v>187</v>
      </c>
      <c r="P28" s="159"/>
    </row>
    <row r="29" spans="1:16" ht="16.5" thickTop="1" x14ac:dyDescent="0.25">
      <c r="A29" s="269" t="s">
        <v>102</v>
      </c>
      <c r="B29" s="197" t="s">
        <v>80</v>
      </c>
      <c r="C29" s="168">
        <v>0</v>
      </c>
      <c r="D29" s="168">
        <v>0</v>
      </c>
      <c r="E29" s="168">
        <v>0</v>
      </c>
      <c r="F29" s="168">
        <v>11473</v>
      </c>
      <c r="G29" s="168">
        <v>0</v>
      </c>
      <c r="H29" s="168">
        <v>0</v>
      </c>
      <c r="I29" s="168">
        <v>0</v>
      </c>
      <c r="J29" s="168">
        <v>0</v>
      </c>
      <c r="K29" s="168">
        <v>0</v>
      </c>
      <c r="L29" s="168">
        <v>0</v>
      </c>
      <c r="M29" s="168">
        <v>0</v>
      </c>
      <c r="N29" s="173">
        <v>0</v>
      </c>
      <c r="O29" s="175">
        <f t="shared" ref="O29:O32" si="6">SUM(C29:N29)</f>
        <v>11473</v>
      </c>
      <c r="P29" s="159"/>
    </row>
    <row r="30" spans="1:16" ht="15.75" x14ac:dyDescent="0.25">
      <c r="A30" s="270"/>
      <c r="B30" s="200" t="s">
        <v>81</v>
      </c>
      <c r="C30" s="165">
        <v>0</v>
      </c>
      <c r="D30" s="165">
        <v>0</v>
      </c>
      <c r="E30" s="165">
        <v>0</v>
      </c>
      <c r="F30" s="165">
        <v>46</v>
      </c>
      <c r="G30" s="165">
        <v>0</v>
      </c>
      <c r="H30" s="165">
        <v>0</v>
      </c>
      <c r="I30" s="165">
        <v>0</v>
      </c>
      <c r="J30" s="165">
        <v>0</v>
      </c>
      <c r="K30" s="165">
        <v>0</v>
      </c>
      <c r="L30" s="165">
        <v>0</v>
      </c>
      <c r="M30" s="165">
        <v>0</v>
      </c>
      <c r="N30" s="170">
        <v>0</v>
      </c>
      <c r="O30" s="176">
        <f t="shared" si="6"/>
        <v>46</v>
      </c>
      <c r="P30" s="159"/>
    </row>
    <row r="31" spans="1:16" ht="15.75" x14ac:dyDescent="0.25">
      <c r="A31" s="270"/>
      <c r="B31" s="199" t="s">
        <v>82</v>
      </c>
      <c r="C31" s="169">
        <v>0</v>
      </c>
      <c r="D31" s="169">
        <v>0</v>
      </c>
      <c r="E31" s="169">
        <v>0</v>
      </c>
      <c r="F31" s="169">
        <v>10827</v>
      </c>
      <c r="G31" s="169">
        <v>0</v>
      </c>
      <c r="H31" s="169">
        <v>0</v>
      </c>
      <c r="I31" s="169"/>
      <c r="J31" s="169">
        <v>0</v>
      </c>
      <c r="K31" s="169">
        <v>0</v>
      </c>
      <c r="L31" s="169">
        <v>0</v>
      </c>
      <c r="M31" s="169">
        <v>0</v>
      </c>
      <c r="N31" s="171">
        <v>0</v>
      </c>
      <c r="O31" s="176">
        <f t="shared" si="6"/>
        <v>10827</v>
      </c>
      <c r="P31" s="159"/>
    </row>
    <row r="32" spans="1:16" ht="16.5" thickBot="1" x14ac:dyDescent="0.3">
      <c r="A32" s="270"/>
      <c r="B32" s="202" t="s">
        <v>83</v>
      </c>
      <c r="C32" s="167">
        <v>0</v>
      </c>
      <c r="D32" s="167">
        <v>0</v>
      </c>
      <c r="E32" s="167">
        <v>0</v>
      </c>
      <c r="F32" s="167">
        <v>43</v>
      </c>
      <c r="G32" s="167">
        <v>0</v>
      </c>
      <c r="H32" s="167">
        <v>0</v>
      </c>
      <c r="I32" s="167"/>
      <c r="J32" s="167">
        <v>0</v>
      </c>
      <c r="K32" s="167">
        <v>0</v>
      </c>
      <c r="L32" s="167">
        <v>0</v>
      </c>
      <c r="M32" s="167">
        <v>0</v>
      </c>
      <c r="N32" s="174">
        <v>0</v>
      </c>
      <c r="O32" s="177">
        <f t="shared" si="6"/>
        <v>43</v>
      </c>
      <c r="P32" s="159"/>
    </row>
    <row r="33" spans="1:16" ht="16.5" thickTop="1" x14ac:dyDescent="0.25">
      <c r="A33" s="283" t="s">
        <v>87</v>
      </c>
      <c r="B33" s="203" t="s">
        <v>88</v>
      </c>
      <c r="C33" s="204">
        <f>SUM(C27,C25,C23,C21,C19,C29,C31)</f>
        <v>0</v>
      </c>
      <c r="D33" s="204">
        <f t="shared" ref="D33:N33" si="7">SUM(D27,D25,D23,D21,D19,D29,D31)</f>
        <v>0</v>
      </c>
      <c r="E33" s="204">
        <f t="shared" si="7"/>
        <v>0</v>
      </c>
      <c r="F33" s="204">
        <f t="shared" si="7"/>
        <v>824888</v>
      </c>
      <c r="G33" s="204">
        <f t="shared" si="7"/>
        <v>0</v>
      </c>
      <c r="H33" s="204">
        <f t="shared" si="7"/>
        <v>0</v>
      </c>
      <c r="I33" s="204">
        <f t="shared" si="7"/>
        <v>0</v>
      </c>
      <c r="J33" s="204">
        <f t="shared" si="7"/>
        <v>0</v>
      </c>
      <c r="K33" s="204">
        <f t="shared" si="7"/>
        <v>0</v>
      </c>
      <c r="L33" s="204">
        <f t="shared" si="7"/>
        <v>0</v>
      </c>
      <c r="M33" s="204">
        <f t="shared" si="7"/>
        <v>0</v>
      </c>
      <c r="N33" s="204">
        <f t="shared" si="7"/>
        <v>0</v>
      </c>
      <c r="O33" s="205">
        <f t="shared" si="5"/>
        <v>824888</v>
      </c>
      <c r="P33" s="157"/>
    </row>
    <row r="34" spans="1:16" ht="16.5" thickBot="1" x14ac:dyDescent="0.3">
      <c r="A34" s="284"/>
      <c r="B34" s="206" t="s">
        <v>89</v>
      </c>
      <c r="C34" s="207">
        <f>SUM(C28,C26,C24,C22,C20,C30,C32)</f>
        <v>0</v>
      </c>
      <c r="D34" s="207">
        <f t="shared" ref="D34:N34" si="8">SUM(D28,D26,D24,D22,D20,D30,D32)</f>
        <v>0</v>
      </c>
      <c r="E34" s="207">
        <f t="shared" si="8"/>
        <v>0</v>
      </c>
      <c r="F34" s="207">
        <f t="shared" si="8"/>
        <v>2909</v>
      </c>
      <c r="G34" s="207">
        <f t="shared" si="8"/>
        <v>0</v>
      </c>
      <c r="H34" s="207">
        <f t="shared" si="8"/>
        <v>0</v>
      </c>
      <c r="I34" s="207">
        <f t="shared" si="8"/>
        <v>0</v>
      </c>
      <c r="J34" s="207">
        <f t="shared" si="8"/>
        <v>0</v>
      </c>
      <c r="K34" s="207">
        <f t="shared" si="8"/>
        <v>0</v>
      </c>
      <c r="L34" s="207">
        <f t="shared" si="8"/>
        <v>0</v>
      </c>
      <c r="M34" s="207">
        <f t="shared" si="8"/>
        <v>0</v>
      </c>
      <c r="N34" s="207">
        <f t="shared" si="8"/>
        <v>0</v>
      </c>
      <c r="O34" s="208">
        <f t="shared" si="5"/>
        <v>2909</v>
      </c>
      <c r="P34" s="159"/>
    </row>
    <row r="35" spans="1:16" ht="16.5" thickTop="1" x14ac:dyDescent="0.25">
      <c r="A35" s="153"/>
      <c r="B35" s="153"/>
      <c r="C35" s="258"/>
      <c r="D35" s="153"/>
      <c r="E35" s="153"/>
      <c r="F35" s="153"/>
      <c r="G35" s="153"/>
      <c r="H35" s="153"/>
      <c r="I35" s="153"/>
      <c r="J35" s="153"/>
      <c r="K35" s="153"/>
      <c r="L35" s="154"/>
      <c r="M35" s="154"/>
      <c r="N35" s="153"/>
      <c r="O35" s="153"/>
      <c r="P35" s="154"/>
    </row>
  </sheetData>
  <mergeCells count="16">
    <mergeCell ref="A29:A32"/>
    <mergeCell ref="A6:B7"/>
    <mergeCell ref="A8:B9"/>
    <mergeCell ref="A10:B11"/>
    <mergeCell ref="A33:A34"/>
    <mergeCell ref="A15:B15"/>
    <mergeCell ref="A16:B16"/>
    <mergeCell ref="A17:B17"/>
    <mergeCell ref="A19:A24"/>
    <mergeCell ref="A25:A28"/>
    <mergeCell ref="A13:B13"/>
    <mergeCell ref="A2:O2"/>
    <mergeCell ref="A4:B4"/>
    <mergeCell ref="A5:B5"/>
    <mergeCell ref="A12:B12"/>
    <mergeCell ref="A14:B14"/>
  </mergeCells>
  <conditionalFormatting sqref="C14:N14">
    <cfRule type="containsErrors" dxfId="28" priority="4">
      <formula>ISERROR(C14)</formula>
    </cfRule>
  </conditionalFormatting>
  <conditionalFormatting sqref="C6:O11">
    <cfRule type="containsErrors" dxfId="27" priority="1">
      <formula>ISERROR(C6)</formula>
    </cfRule>
  </conditionalFormatting>
  <pageMargins left="0.7" right="0.7" top="0.75" bottom="0.75" header="0.3" footer="0.3"/>
  <ignoredErrors>
    <ignoredError sqref="G7:O7 G10:O10 G9:N9 G8 G11:O11 K8:O8" evalError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3DA2-58F2-4CA6-B97D-601275A894A0}">
  <sheetPr>
    <tabColor theme="4"/>
  </sheetPr>
  <dimension ref="A1:V234"/>
  <sheetViews>
    <sheetView zoomScale="70" zoomScaleNormal="70" workbookViewId="0">
      <pane xSplit="3" ySplit="2" topLeftCell="D229" activePane="bottomRight" state="frozen"/>
      <selection pane="topRight" activeCell="D1" sqref="D1"/>
      <selection pane="bottomLeft" activeCell="A3" sqref="A3"/>
      <selection pane="bottomRight" activeCell="G2" sqref="E2:G233"/>
    </sheetView>
  </sheetViews>
  <sheetFormatPr defaultRowHeight="15" outlineLevelRow="2" x14ac:dyDescent="0.2"/>
  <cols>
    <col min="1" max="1" width="21.42578125" style="138" bestFit="1" customWidth="1"/>
    <col min="2" max="2" width="14.140625" style="138" hidden="1" customWidth="1"/>
    <col min="3" max="3" width="42.85546875" style="138" bestFit="1" customWidth="1"/>
    <col min="4" max="4" width="15" style="138" customWidth="1"/>
    <col min="5" max="5" width="14.7109375" style="138" customWidth="1"/>
    <col min="6" max="6" width="15.7109375" style="138" customWidth="1"/>
    <col min="7" max="7" width="15.42578125" style="138" customWidth="1"/>
    <col min="8" max="16" width="12.7109375" style="138" hidden="1" customWidth="1"/>
    <col min="17" max="17" width="14.7109375" style="138" customWidth="1"/>
    <col min="18" max="18" width="15" style="138" customWidth="1"/>
    <col min="19" max="19" width="13.140625" style="138" customWidth="1"/>
    <col min="20" max="20" width="43.85546875" style="138" customWidth="1"/>
    <col min="21" max="21" width="21" style="138" customWidth="1"/>
    <col min="22" max="22" width="11.5703125" style="138" customWidth="1"/>
    <col min="23" max="29" width="9.140625" style="138" customWidth="1"/>
    <col min="30" max="16384" width="9.140625" style="138"/>
  </cols>
  <sheetData>
    <row r="1" spans="1:19" ht="37.5" customHeight="1" thickTop="1" thickBot="1" x14ac:dyDescent="0.25">
      <c r="A1" s="298" t="s">
        <v>105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300"/>
      <c r="Q1" s="305" t="s">
        <v>5</v>
      </c>
      <c r="R1" s="305"/>
      <c r="S1" s="301" t="s">
        <v>6</v>
      </c>
    </row>
    <row r="2" spans="1:19" ht="33" customHeight="1" thickTop="1" thickBot="1" x14ac:dyDescent="0.25">
      <c r="A2" s="112" t="s">
        <v>7</v>
      </c>
      <c r="B2" s="113" t="s">
        <v>8</v>
      </c>
      <c r="C2" s="114" t="s">
        <v>9</v>
      </c>
      <c r="D2" s="115"/>
      <c r="E2" s="116">
        <v>45839</v>
      </c>
      <c r="F2" s="116">
        <v>45870</v>
      </c>
      <c r="G2" s="116">
        <v>45901</v>
      </c>
      <c r="H2" s="116">
        <v>45931</v>
      </c>
      <c r="I2" s="116">
        <v>45962</v>
      </c>
      <c r="J2" s="116">
        <v>45992</v>
      </c>
      <c r="K2" s="116">
        <v>46023</v>
      </c>
      <c r="L2" s="116">
        <v>46054</v>
      </c>
      <c r="M2" s="116">
        <v>46082</v>
      </c>
      <c r="N2" s="116">
        <v>46113</v>
      </c>
      <c r="O2" s="116">
        <v>46143</v>
      </c>
      <c r="P2" s="116">
        <v>46174</v>
      </c>
      <c r="Q2" s="116" t="s">
        <v>0</v>
      </c>
      <c r="R2" s="117" t="s">
        <v>10</v>
      </c>
      <c r="S2" s="302"/>
    </row>
    <row r="3" spans="1:19" ht="15.75" hidden="1" outlineLevel="1" x14ac:dyDescent="0.25">
      <c r="A3" s="220" t="s">
        <v>11</v>
      </c>
      <c r="B3" s="217" t="s">
        <v>12</v>
      </c>
      <c r="C3" s="228" t="s">
        <v>13</v>
      </c>
      <c r="D3" s="77" t="s">
        <v>14</v>
      </c>
      <c r="E3" s="78">
        <v>770</v>
      </c>
      <c r="F3" s="78">
        <v>7770.75</v>
      </c>
      <c r="G3" s="79">
        <v>5529.97</v>
      </c>
      <c r="H3" s="80"/>
      <c r="I3" s="80"/>
      <c r="J3" s="80"/>
      <c r="K3" s="80"/>
      <c r="L3" s="80"/>
      <c r="M3" s="122"/>
      <c r="N3" s="122"/>
      <c r="O3" s="122"/>
      <c r="P3" s="122"/>
      <c r="Q3" s="90">
        <f>+SUM(E3:P3)</f>
        <v>14070.720000000001</v>
      </c>
      <c r="R3" s="303">
        <f>Q3/Q4</f>
        <v>0.25583127272727274</v>
      </c>
      <c r="S3" s="110">
        <v>0</v>
      </c>
    </row>
    <row r="4" spans="1:19" ht="16.5" hidden="1" outlineLevel="1" thickBot="1" x14ac:dyDescent="0.3">
      <c r="A4" s="221"/>
      <c r="B4" s="129"/>
      <c r="C4" s="229"/>
      <c r="D4" s="81" t="s">
        <v>1</v>
      </c>
      <c r="E4" s="143">
        <v>3000</v>
      </c>
      <c r="F4" s="143">
        <v>4200</v>
      </c>
      <c r="G4" s="143">
        <v>1600</v>
      </c>
      <c r="H4" s="143">
        <v>7500</v>
      </c>
      <c r="I4" s="143">
        <v>5450</v>
      </c>
      <c r="J4" s="143">
        <v>1500</v>
      </c>
      <c r="K4" s="143">
        <v>4000</v>
      </c>
      <c r="L4" s="143">
        <v>4000</v>
      </c>
      <c r="M4" s="143">
        <v>7750</v>
      </c>
      <c r="N4" s="143">
        <v>6700</v>
      </c>
      <c r="O4" s="143">
        <v>4650</v>
      </c>
      <c r="P4" s="143">
        <v>4650</v>
      </c>
      <c r="Q4" s="144">
        <f>SUM(E4:P4)</f>
        <v>55000</v>
      </c>
      <c r="R4" s="304"/>
      <c r="S4" s="109">
        <f>Q4/$Q$230</f>
        <v>3.4371777645845702E-3</v>
      </c>
    </row>
    <row r="5" spans="1:19" ht="15.75" hidden="1" outlineLevel="1" x14ac:dyDescent="0.25">
      <c r="A5" s="220" t="s">
        <v>11</v>
      </c>
      <c r="B5" s="217" t="s">
        <v>12</v>
      </c>
      <c r="C5" s="226" t="s">
        <v>91</v>
      </c>
      <c r="D5" s="77" t="s">
        <v>14</v>
      </c>
      <c r="E5" s="78">
        <v>179440.36</v>
      </c>
      <c r="F5" s="78">
        <v>138218.79999999999</v>
      </c>
      <c r="G5" s="79">
        <v>37125.06</v>
      </c>
      <c r="H5" s="80"/>
      <c r="I5" s="80"/>
      <c r="J5" s="80"/>
      <c r="K5" s="80"/>
      <c r="L5" s="80"/>
      <c r="M5" s="80"/>
      <c r="N5" s="80"/>
      <c r="O5" s="80"/>
      <c r="P5" s="80"/>
      <c r="Q5" s="90">
        <f>+SUM(E5:P5)</f>
        <v>354784.22</v>
      </c>
      <c r="R5" s="303">
        <f>Q5/Q6</f>
        <v>0.32107169230769228</v>
      </c>
      <c r="S5" s="111">
        <v>0</v>
      </c>
    </row>
    <row r="6" spans="1:19" ht="16.5" hidden="1" outlineLevel="1" thickBot="1" x14ac:dyDescent="0.3">
      <c r="A6" s="221"/>
      <c r="B6" s="129"/>
      <c r="C6" s="227"/>
      <c r="D6" s="81" t="s">
        <v>1</v>
      </c>
      <c r="E6" s="143">
        <v>105000</v>
      </c>
      <c r="F6" s="143">
        <v>100000</v>
      </c>
      <c r="G6" s="143">
        <v>75000</v>
      </c>
      <c r="H6" s="143">
        <v>75000</v>
      </c>
      <c r="I6" s="143">
        <v>100000</v>
      </c>
      <c r="J6" s="143">
        <v>100000</v>
      </c>
      <c r="K6" s="143">
        <v>80000</v>
      </c>
      <c r="L6" s="143">
        <v>80000</v>
      </c>
      <c r="M6" s="143">
        <v>95000</v>
      </c>
      <c r="N6" s="143">
        <v>95000</v>
      </c>
      <c r="O6" s="143">
        <v>100000</v>
      </c>
      <c r="P6" s="143">
        <v>100000</v>
      </c>
      <c r="Q6" s="144">
        <f>SUM(E6:P6)</f>
        <v>1105000</v>
      </c>
      <c r="R6" s="304"/>
      <c r="S6" s="109">
        <f>Q6/$Q$230</f>
        <v>6.9056025997562734E-2</v>
      </c>
    </row>
    <row r="7" spans="1:19" ht="15.75" hidden="1" outlineLevel="1" x14ac:dyDescent="0.25">
      <c r="A7" s="220" t="s">
        <v>11</v>
      </c>
      <c r="B7" s="217" t="s">
        <v>12</v>
      </c>
      <c r="C7" s="226" t="s">
        <v>94</v>
      </c>
      <c r="D7" s="77" t="s">
        <v>14</v>
      </c>
      <c r="E7" s="78"/>
      <c r="F7" s="78">
        <v>7973.4671000000008</v>
      </c>
      <c r="G7" s="79">
        <v>154525.82570000004</v>
      </c>
      <c r="H7" s="80"/>
      <c r="I7" s="80"/>
      <c r="J7" s="80"/>
      <c r="K7" s="80"/>
      <c r="L7" s="80"/>
      <c r="M7" s="80"/>
      <c r="N7" s="80"/>
      <c r="O7" s="80"/>
      <c r="P7" s="80"/>
      <c r="Q7" s="90">
        <f>+SUM(E7:P7)</f>
        <v>162499.29280000005</v>
      </c>
      <c r="R7" s="303">
        <f>Q7/Q8</f>
        <v>0.44520354191780837</v>
      </c>
      <c r="S7" s="111">
        <v>0</v>
      </c>
    </row>
    <row r="8" spans="1:19" ht="16.5" hidden="1" outlineLevel="1" thickBot="1" x14ac:dyDescent="0.3">
      <c r="A8" s="221"/>
      <c r="B8" s="129"/>
      <c r="C8" s="227"/>
      <c r="D8" s="81" t="s">
        <v>1</v>
      </c>
      <c r="E8" s="143"/>
      <c r="F8" s="143"/>
      <c r="G8" s="143">
        <v>220000</v>
      </c>
      <c r="H8" s="143">
        <v>20000</v>
      </c>
      <c r="I8" s="143">
        <v>20000</v>
      </c>
      <c r="J8" s="143">
        <v>15000</v>
      </c>
      <c r="K8" s="143">
        <v>15000</v>
      </c>
      <c r="L8" s="143">
        <v>15000</v>
      </c>
      <c r="M8" s="143">
        <v>15000</v>
      </c>
      <c r="N8" s="143">
        <v>15000</v>
      </c>
      <c r="O8" s="143">
        <v>15000</v>
      </c>
      <c r="P8" s="143">
        <v>15000</v>
      </c>
      <c r="Q8" s="144">
        <f>SUM(E8:P8)</f>
        <v>365000</v>
      </c>
      <c r="R8" s="304"/>
      <c r="S8" s="109">
        <f>Q8/$Q$230</f>
        <v>2.2810361528606694E-2</v>
      </c>
    </row>
    <row r="9" spans="1:19" ht="15.75" hidden="1" outlineLevel="1" x14ac:dyDescent="0.25">
      <c r="A9" s="220" t="s">
        <v>11</v>
      </c>
      <c r="B9" s="217" t="s">
        <v>12</v>
      </c>
      <c r="C9" s="228" t="s">
        <v>15</v>
      </c>
      <c r="D9" s="77" t="s">
        <v>14</v>
      </c>
      <c r="E9" s="78">
        <v>2856</v>
      </c>
      <c r="F9" s="78">
        <v>3702</v>
      </c>
      <c r="G9" s="79">
        <v>9691</v>
      </c>
      <c r="H9" s="80"/>
      <c r="I9" s="80"/>
      <c r="J9" s="80"/>
      <c r="K9" s="80"/>
      <c r="L9" s="80"/>
      <c r="M9" s="80"/>
      <c r="N9" s="80"/>
      <c r="O9" s="80"/>
      <c r="P9" s="80"/>
      <c r="Q9" s="90">
        <f>+SUM(E9:P9)</f>
        <v>16249</v>
      </c>
      <c r="R9" s="303">
        <f>Q9/Q10</f>
        <v>0.27081666666666665</v>
      </c>
      <c r="S9" s="110">
        <v>0</v>
      </c>
    </row>
    <row r="10" spans="1:19" ht="16.5" hidden="1" outlineLevel="1" thickBot="1" x14ac:dyDescent="0.3">
      <c r="A10" s="221"/>
      <c r="B10" s="129"/>
      <c r="C10" s="229"/>
      <c r="D10" s="81" t="s">
        <v>1</v>
      </c>
      <c r="E10" s="143">
        <v>4000</v>
      </c>
      <c r="F10" s="143">
        <v>5000</v>
      </c>
      <c r="G10" s="143">
        <v>5000</v>
      </c>
      <c r="H10" s="143">
        <v>5500</v>
      </c>
      <c r="I10" s="143">
        <v>5500</v>
      </c>
      <c r="J10" s="143">
        <v>4500</v>
      </c>
      <c r="K10" s="143">
        <v>4500</v>
      </c>
      <c r="L10" s="143">
        <v>5500</v>
      </c>
      <c r="M10" s="143">
        <v>5500</v>
      </c>
      <c r="N10" s="143">
        <v>4500</v>
      </c>
      <c r="O10" s="143">
        <v>5000</v>
      </c>
      <c r="P10" s="143">
        <v>5500</v>
      </c>
      <c r="Q10" s="144">
        <f>SUM(E10:P10)</f>
        <v>60000</v>
      </c>
      <c r="R10" s="304"/>
      <c r="S10" s="109">
        <f>Q10/$Q$230</f>
        <v>3.7496484704558947E-3</v>
      </c>
    </row>
    <row r="11" spans="1:19" ht="15.75" hidden="1" outlineLevel="1" x14ac:dyDescent="0.25">
      <c r="A11" s="220" t="s">
        <v>11</v>
      </c>
      <c r="B11" s="217" t="s">
        <v>12</v>
      </c>
      <c r="C11" s="228" t="s">
        <v>16</v>
      </c>
      <c r="D11" s="77" t="s">
        <v>14</v>
      </c>
      <c r="E11" s="78">
        <v>2144</v>
      </c>
      <c r="F11" s="78">
        <v>8159.5</v>
      </c>
      <c r="G11" s="79">
        <v>4008</v>
      </c>
      <c r="H11" s="80"/>
      <c r="I11" s="80"/>
      <c r="J11" s="80"/>
      <c r="K11" s="80"/>
      <c r="L11" s="80"/>
      <c r="M11" s="80"/>
      <c r="N11" s="80"/>
      <c r="O11" s="80"/>
      <c r="P11" s="80"/>
      <c r="Q11" s="90">
        <f>+SUM(E11:P11)</f>
        <v>14311.5</v>
      </c>
      <c r="R11" s="303">
        <f>Q11/Q12</f>
        <v>0.71557499999999996</v>
      </c>
      <c r="S11" s="110">
        <v>0</v>
      </c>
    </row>
    <row r="12" spans="1:19" ht="16.5" hidden="1" outlineLevel="1" thickBot="1" x14ac:dyDescent="0.3">
      <c r="A12" s="221"/>
      <c r="B12" s="129"/>
      <c r="C12" s="229"/>
      <c r="D12" s="81" t="s">
        <v>1</v>
      </c>
      <c r="E12" s="143">
        <v>4000</v>
      </c>
      <c r="F12" s="143">
        <v>4000</v>
      </c>
      <c r="G12" s="143">
        <v>1500</v>
      </c>
      <c r="H12" s="143">
        <v>1500</v>
      </c>
      <c r="I12" s="143">
        <v>1500</v>
      </c>
      <c r="J12" s="143"/>
      <c r="K12" s="143">
        <v>2000</v>
      </c>
      <c r="L12" s="143">
        <v>2000</v>
      </c>
      <c r="M12" s="143">
        <v>2000</v>
      </c>
      <c r="N12" s="143"/>
      <c r="O12" s="143"/>
      <c r="P12" s="143">
        <v>1500</v>
      </c>
      <c r="Q12" s="144">
        <f>SUM(E12:P12)</f>
        <v>20000</v>
      </c>
      <c r="R12" s="304"/>
      <c r="S12" s="109">
        <f>Q12/$Q$230</f>
        <v>1.2498828234852983E-3</v>
      </c>
    </row>
    <row r="13" spans="1:19" ht="15.75" hidden="1" outlineLevel="1" x14ac:dyDescent="0.25">
      <c r="A13" s="220" t="s">
        <v>11</v>
      </c>
      <c r="B13" s="217" t="s">
        <v>12</v>
      </c>
      <c r="C13" s="228" t="s">
        <v>17</v>
      </c>
      <c r="D13" s="77" t="s">
        <v>14</v>
      </c>
      <c r="E13" s="78">
        <v>5435.32</v>
      </c>
      <c r="F13" s="78">
        <v>7118.27</v>
      </c>
      <c r="G13" s="79">
        <v>10258.049999999999</v>
      </c>
      <c r="H13" s="80"/>
      <c r="I13" s="80"/>
      <c r="J13" s="80"/>
      <c r="K13" s="80"/>
      <c r="L13" s="80"/>
      <c r="M13" s="80"/>
      <c r="N13" s="80"/>
      <c r="O13" s="80"/>
      <c r="P13" s="80"/>
      <c r="Q13" s="90">
        <f>+SUM(E13:P13)</f>
        <v>22811.64</v>
      </c>
      <c r="R13" s="303">
        <f>Q13/Q14</f>
        <v>0.38019399999999998</v>
      </c>
      <c r="S13" s="110">
        <v>0</v>
      </c>
    </row>
    <row r="14" spans="1:19" ht="16.5" hidden="1" outlineLevel="1" thickBot="1" x14ac:dyDescent="0.3">
      <c r="A14" s="221"/>
      <c r="B14" s="129"/>
      <c r="C14" s="229"/>
      <c r="D14" s="81" t="s">
        <v>1</v>
      </c>
      <c r="E14" s="143">
        <v>6000</v>
      </c>
      <c r="F14" s="143">
        <v>6000</v>
      </c>
      <c r="G14" s="143">
        <v>6500</v>
      </c>
      <c r="H14" s="143">
        <v>4000</v>
      </c>
      <c r="I14" s="143">
        <v>4000</v>
      </c>
      <c r="J14" s="143">
        <v>3000</v>
      </c>
      <c r="K14" s="143">
        <v>4000</v>
      </c>
      <c r="L14" s="143">
        <v>3000</v>
      </c>
      <c r="M14" s="143">
        <v>6000</v>
      </c>
      <c r="N14" s="143">
        <v>6000</v>
      </c>
      <c r="O14" s="143">
        <v>5500</v>
      </c>
      <c r="P14" s="143">
        <v>6000</v>
      </c>
      <c r="Q14" s="144">
        <f>SUM(E14:P14)</f>
        <v>60000</v>
      </c>
      <c r="R14" s="304"/>
      <c r="S14" s="109">
        <f>Q14/$Q$230</f>
        <v>3.7496484704558947E-3</v>
      </c>
    </row>
    <row r="15" spans="1:19" ht="15.75" hidden="1" outlineLevel="1" x14ac:dyDescent="0.25">
      <c r="A15" s="220" t="s">
        <v>11</v>
      </c>
      <c r="B15" s="217" t="s">
        <v>12</v>
      </c>
      <c r="C15" s="228" t="s">
        <v>133</v>
      </c>
      <c r="D15" s="77" t="s">
        <v>14</v>
      </c>
      <c r="E15" s="78">
        <v>1304.78</v>
      </c>
      <c r="F15" s="78"/>
      <c r="G15" s="79">
        <v>44262</v>
      </c>
      <c r="H15" s="80"/>
      <c r="I15" s="80"/>
      <c r="J15" s="80"/>
      <c r="K15" s="80"/>
      <c r="L15" s="80"/>
      <c r="M15" s="80"/>
      <c r="N15" s="80"/>
      <c r="O15" s="80"/>
      <c r="P15" s="80"/>
      <c r="Q15" s="90">
        <f>+SUM(E15:P15)</f>
        <v>45566.78</v>
      </c>
      <c r="R15" s="303">
        <f>Q15/Q16</f>
        <v>0.65095400000000003</v>
      </c>
      <c r="S15" s="110">
        <v>0</v>
      </c>
    </row>
    <row r="16" spans="1:19" ht="16.5" hidden="1" outlineLevel="1" thickBot="1" x14ac:dyDescent="0.3">
      <c r="A16" s="221"/>
      <c r="B16" s="129"/>
      <c r="C16" s="229"/>
      <c r="D16" s="81" t="s">
        <v>1</v>
      </c>
      <c r="E16" s="143">
        <v>2500</v>
      </c>
      <c r="F16" s="143">
        <v>8000</v>
      </c>
      <c r="G16" s="143">
        <v>8000</v>
      </c>
      <c r="H16" s="143">
        <v>5000</v>
      </c>
      <c r="I16" s="143">
        <v>8000</v>
      </c>
      <c r="J16" s="143">
        <v>2000</v>
      </c>
      <c r="K16" s="143">
        <v>2000</v>
      </c>
      <c r="L16" s="143">
        <v>7000</v>
      </c>
      <c r="M16" s="143">
        <v>8000</v>
      </c>
      <c r="N16" s="143">
        <v>5000</v>
      </c>
      <c r="O16" s="143">
        <v>8000</v>
      </c>
      <c r="P16" s="143">
        <v>6500</v>
      </c>
      <c r="Q16" s="144">
        <f>SUM(E16:P16)</f>
        <v>70000</v>
      </c>
      <c r="R16" s="304"/>
      <c r="S16" s="109">
        <f>Q16/$Q$230</f>
        <v>4.3745898821985442E-3</v>
      </c>
    </row>
    <row r="17" spans="1:19" ht="15.75" hidden="1" outlineLevel="1" x14ac:dyDescent="0.25">
      <c r="A17" s="220" t="s">
        <v>11</v>
      </c>
      <c r="B17" s="217" t="s">
        <v>12</v>
      </c>
      <c r="C17" s="228" t="s">
        <v>18</v>
      </c>
      <c r="D17" s="77" t="s">
        <v>14</v>
      </c>
      <c r="E17" s="78">
        <v>10031.030000000001</v>
      </c>
      <c r="F17" s="78">
        <v>55953.408000000003</v>
      </c>
      <c r="G17" s="79"/>
      <c r="H17" s="80"/>
      <c r="I17" s="80"/>
      <c r="J17" s="80"/>
      <c r="K17" s="80"/>
      <c r="L17" s="80"/>
      <c r="M17" s="80"/>
      <c r="N17" s="80"/>
      <c r="O17" s="80"/>
      <c r="P17" s="80"/>
      <c r="Q17" s="90">
        <f>+SUM(E17:P17)</f>
        <v>65984.438000000009</v>
      </c>
      <c r="R17" s="303">
        <f>Q17/Q18</f>
        <v>1.0997406333333335</v>
      </c>
      <c r="S17" s="110">
        <v>0</v>
      </c>
    </row>
    <row r="18" spans="1:19" ht="16.5" hidden="1" outlineLevel="1" thickBot="1" x14ac:dyDescent="0.3">
      <c r="A18" s="221"/>
      <c r="B18" s="129"/>
      <c r="C18" s="229"/>
      <c r="D18" s="81" t="s">
        <v>1</v>
      </c>
      <c r="E18" s="143">
        <v>20000</v>
      </c>
      <c r="F18" s="143">
        <v>20000</v>
      </c>
      <c r="G18" s="143">
        <v>20000</v>
      </c>
      <c r="H18" s="143"/>
      <c r="I18" s="143"/>
      <c r="J18" s="143"/>
      <c r="K18" s="143"/>
      <c r="L18" s="143"/>
      <c r="M18" s="143"/>
      <c r="N18" s="143"/>
      <c r="O18" s="143"/>
      <c r="P18" s="143"/>
      <c r="Q18" s="144">
        <f>SUM(E18:P18)</f>
        <v>60000</v>
      </c>
      <c r="R18" s="304"/>
      <c r="S18" s="109">
        <f>Q18/$Q$230</f>
        <v>3.7496484704558947E-3</v>
      </c>
    </row>
    <row r="19" spans="1:19" ht="15.75" hidden="1" outlineLevel="1" x14ac:dyDescent="0.25">
      <c r="A19" s="220" t="s">
        <v>11</v>
      </c>
      <c r="B19" s="217" t="s">
        <v>12</v>
      </c>
      <c r="C19" s="228" t="s">
        <v>136</v>
      </c>
      <c r="D19" s="77" t="s">
        <v>14</v>
      </c>
      <c r="E19" s="78">
        <v>7328.96</v>
      </c>
      <c r="F19" s="78">
        <v>3975.5526999999997</v>
      </c>
      <c r="G19" s="79">
        <v>1436.6626000000001</v>
      </c>
      <c r="H19" s="80"/>
      <c r="I19" s="80"/>
      <c r="J19" s="80"/>
      <c r="K19" s="80"/>
      <c r="L19" s="80"/>
      <c r="M19" s="122"/>
      <c r="N19" s="122"/>
      <c r="O19" s="122"/>
      <c r="P19" s="122"/>
      <c r="Q19" s="90">
        <f>+SUM(E19:P19)</f>
        <v>12741.175299999999</v>
      </c>
      <c r="R19" s="303">
        <f>Q19/Q20</f>
        <v>0.10617646083333332</v>
      </c>
      <c r="S19" s="110">
        <v>0</v>
      </c>
    </row>
    <row r="20" spans="1:19" ht="16.5" hidden="1" outlineLevel="1" thickBot="1" x14ac:dyDescent="0.3">
      <c r="A20" s="221"/>
      <c r="B20" s="129"/>
      <c r="C20" s="229"/>
      <c r="D20" s="81" t="s">
        <v>1</v>
      </c>
      <c r="E20" s="143">
        <v>10000</v>
      </c>
      <c r="F20" s="143">
        <v>10000</v>
      </c>
      <c r="G20" s="143">
        <v>10000</v>
      </c>
      <c r="H20" s="143">
        <v>10000</v>
      </c>
      <c r="I20" s="143">
        <v>10000</v>
      </c>
      <c r="J20" s="143">
        <v>10000</v>
      </c>
      <c r="K20" s="143">
        <v>10000</v>
      </c>
      <c r="L20" s="143">
        <v>10000</v>
      </c>
      <c r="M20" s="143">
        <v>10000</v>
      </c>
      <c r="N20" s="143">
        <v>10000</v>
      </c>
      <c r="O20" s="143">
        <v>10000</v>
      </c>
      <c r="P20" s="143">
        <v>10000</v>
      </c>
      <c r="Q20" s="144">
        <f>SUM(E20:P20)</f>
        <v>120000</v>
      </c>
      <c r="R20" s="304"/>
      <c r="S20" s="109">
        <f>Q20/$Q$230</f>
        <v>7.4992969409117894E-3</v>
      </c>
    </row>
    <row r="21" spans="1:19" ht="15.75" hidden="1" outlineLevel="1" x14ac:dyDescent="0.25">
      <c r="A21" s="220" t="s">
        <v>11</v>
      </c>
      <c r="B21" s="217" t="s">
        <v>12</v>
      </c>
      <c r="C21" s="228" t="s">
        <v>129</v>
      </c>
      <c r="D21" s="77" t="s">
        <v>14</v>
      </c>
      <c r="E21" s="78">
        <v>12661.63</v>
      </c>
      <c r="F21" s="78">
        <v>7797.22</v>
      </c>
      <c r="G21" s="79">
        <v>16019.05</v>
      </c>
      <c r="H21" s="80"/>
      <c r="I21" s="80"/>
      <c r="J21" s="80"/>
      <c r="K21" s="80"/>
      <c r="L21" s="80"/>
      <c r="M21" s="122"/>
      <c r="N21" s="122"/>
      <c r="O21" s="122"/>
      <c r="P21" s="122"/>
      <c r="Q21" s="90">
        <f>+SUM(E21:P21)</f>
        <v>36477.899999999994</v>
      </c>
      <c r="R21" s="303">
        <f>Q21/Q22</f>
        <v>0.60796499999999987</v>
      </c>
      <c r="S21" s="110">
        <v>0</v>
      </c>
    </row>
    <row r="22" spans="1:19" ht="16.5" hidden="1" outlineLevel="1" thickBot="1" x14ac:dyDescent="0.3">
      <c r="A22" s="221"/>
      <c r="B22" s="129"/>
      <c r="C22" s="229"/>
      <c r="D22" s="81" t="s">
        <v>1</v>
      </c>
      <c r="E22" s="143">
        <v>5000</v>
      </c>
      <c r="F22" s="143">
        <v>5500</v>
      </c>
      <c r="G22" s="143">
        <v>5000</v>
      </c>
      <c r="H22" s="143">
        <v>3500</v>
      </c>
      <c r="I22" s="143">
        <v>4000</v>
      </c>
      <c r="J22" s="143">
        <v>3500</v>
      </c>
      <c r="K22" s="143">
        <v>5500</v>
      </c>
      <c r="L22" s="143">
        <v>4000</v>
      </c>
      <c r="M22" s="143">
        <v>7500</v>
      </c>
      <c r="N22" s="143">
        <v>5500</v>
      </c>
      <c r="O22" s="143">
        <v>5500</v>
      </c>
      <c r="P22" s="143">
        <v>5500</v>
      </c>
      <c r="Q22" s="144">
        <f>SUM(E22:P22)</f>
        <v>60000</v>
      </c>
      <c r="R22" s="304"/>
      <c r="S22" s="109">
        <f>Q22/$Q$230</f>
        <v>3.7496484704558947E-3</v>
      </c>
    </row>
    <row r="23" spans="1:19" ht="15.75" hidden="1" outlineLevel="1" x14ac:dyDescent="0.25">
      <c r="A23" s="220" t="s">
        <v>11</v>
      </c>
      <c r="B23" s="217" t="s">
        <v>12</v>
      </c>
      <c r="C23" s="228" t="s">
        <v>108</v>
      </c>
      <c r="D23" s="77" t="s">
        <v>14</v>
      </c>
      <c r="E23" s="78">
        <v>7674.8</v>
      </c>
      <c r="F23" s="78">
        <v>10950.26</v>
      </c>
      <c r="G23" s="79">
        <v>5299.2691999999997</v>
      </c>
      <c r="H23" s="80"/>
      <c r="I23" s="80"/>
      <c r="J23" s="80"/>
      <c r="K23" s="80"/>
      <c r="L23" s="80"/>
      <c r="M23" s="122"/>
      <c r="N23" s="122"/>
      <c r="O23" s="122"/>
      <c r="P23" s="122"/>
      <c r="Q23" s="90">
        <f>+SUM(E23:P23)</f>
        <v>23924.3292</v>
      </c>
      <c r="R23" s="303">
        <f>Q23/Q24</f>
        <v>0.39873881999999999</v>
      </c>
      <c r="S23" s="110">
        <v>0</v>
      </c>
    </row>
    <row r="24" spans="1:19" ht="16.5" hidden="1" outlineLevel="1" thickBot="1" x14ac:dyDescent="0.3">
      <c r="A24" s="221"/>
      <c r="B24" s="129"/>
      <c r="C24" s="229"/>
      <c r="D24" s="81" t="s">
        <v>1</v>
      </c>
      <c r="E24" s="143">
        <v>5500</v>
      </c>
      <c r="F24" s="143">
        <v>5500</v>
      </c>
      <c r="G24" s="143">
        <v>4500</v>
      </c>
      <c r="H24" s="143">
        <v>5500</v>
      </c>
      <c r="I24" s="143">
        <v>5500</v>
      </c>
      <c r="J24" s="143">
        <v>3000</v>
      </c>
      <c r="K24" s="143">
        <v>3500</v>
      </c>
      <c r="L24" s="143">
        <v>5500</v>
      </c>
      <c r="M24" s="143">
        <v>5500</v>
      </c>
      <c r="N24" s="143">
        <v>5500</v>
      </c>
      <c r="O24" s="143">
        <v>5000</v>
      </c>
      <c r="P24" s="143">
        <v>5500</v>
      </c>
      <c r="Q24" s="144">
        <f>SUM(E24:P24)</f>
        <v>60000</v>
      </c>
      <c r="R24" s="304"/>
      <c r="S24" s="109">
        <f>Q24/$Q$230</f>
        <v>3.7496484704558947E-3</v>
      </c>
    </row>
    <row r="25" spans="1:19" ht="15.75" hidden="1" outlineLevel="1" x14ac:dyDescent="0.25">
      <c r="A25" s="220" t="s">
        <v>11</v>
      </c>
      <c r="B25" s="217" t="s">
        <v>12</v>
      </c>
      <c r="C25" s="228" t="s">
        <v>73</v>
      </c>
      <c r="D25" s="77" t="s">
        <v>14</v>
      </c>
      <c r="E25" s="78">
        <v>314</v>
      </c>
      <c r="F25" s="78"/>
      <c r="G25" s="79">
        <v>330</v>
      </c>
      <c r="H25" s="80"/>
      <c r="I25" s="80"/>
      <c r="J25" s="80"/>
      <c r="K25" s="80"/>
      <c r="L25" s="80"/>
      <c r="M25" s="80"/>
      <c r="N25" s="80"/>
      <c r="O25" s="80"/>
      <c r="P25" s="80"/>
      <c r="Q25" s="90">
        <f>+SUM(E25:P25)</f>
        <v>644</v>
      </c>
      <c r="R25" s="303">
        <f>Q25/Q26</f>
        <v>1.2880000000000001E-2</v>
      </c>
      <c r="S25" s="110">
        <v>0</v>
      </c>
    </row>
    <row r="26" spans="1:19" ht="16.5" hidden="1" outlineLevel="1" thickBot="1" x14ac:dyDescent="0.3">
      <c r="A26" s="221"/>
      <c r="B26" s="129"/>
      <c r="C26" s="229"/>
      <c r="D26" s="81" t="s">
        <v>1</v>
      </c>
      <c r="E26" s="143">
        <v>6000</v>
      </c>
      <c r="F26" s="143">
        <v>6000</v>
      </c>
      <c r="G26" s="143">
        <v>6000</v>
      </c>
      <c r="H26" s="143">
        <v>3000</v>
      </c>
      <c r="I26" s="143">
        <v>3000</v>
      </c>
      <c r="J26" s="143">
        <v>3000</v>
      </c>
      <c r="K26" s="143">
        <v>4000</v>
      </c>
      <c r="L26" s="143">
        <v>3000</v>
      </c>
      <c r="M26" s="143">
        <v>3000</v>
      </c>
      <c r="N26" s="143">
        <v>3000</v>
      </c>
      <c r="O26" s="143">
        <v>5000</v>
      </c>
      <c r="P26" s="143">
        <v>5000</v>
      </c>
      <c r="Q26" s="144">
        <f>SUM(E26:P26)</f>
        <v>50000</v>
      </c>
      <c r="R26" s="304"/>
      <c r="S26" s="109">
        <f>Q26/$Q$230</f>
        <v>3.1247070587132456E-3</v>
      </c>
    </row>
    <row r="27" spans="1:19" ht="15.75" hidden="1" outlineLevel="1" x14ac:dyDescent="0.25">
      <c r="A27" s="220" t="s">
        <v>11</v>
      </c>
      <c r="B27" s="217" t="s">
        <v>12</v>
      </c>
      <c r="C27" s="228" t="s">
        <v>19</v>
      </c>
      <c r="D27" s="77" t="s">
        <v>14</v>
      </c>
      <c r="E27" s="78">
        <v>6185.5</v>
      </c>
      <c r="F27" s="78">
        <v>6568.12</v>
      </c>
      <c r="G27" s="79">
        <v>1233</v>
      </c>
      <c r="H27" s="80"/>
      <c r="I27" s="80"/>
      <c r="J27" s="80"/>
      <c r="K27" s="80"/>
      <c r="L27" s="80"/>
      <c r="M27" s="122"/>
      <c r="N27" s="122"/>
      <c r="O27" s="122"/>
      <c r="P27" s="122"/>
      <c r="Q27" s="90">
        <f>+SUM(E27:P27)</f>
        <v>13986.619999999999</v>
      </c>
      <c r="R27" s="303">
        <f>Q27/Q28</f>
        <v>0.19980885714285712</v>
      </c>
      <c r="S27" s="110">
        <v>0</v>
      </c>
    </row>
    <row r="28" spans="1:19" ht="16.5" hidden="1" outlineLevel="1" thickBot="1" x14ac:dyDescent="0.3">
      <c r="A28" s="221"/>
      <c r="B28" s="129"/>
      <c r="C28" s="229"/>
      <c r="D28" s="81" t="s">
        <v>1</v>
      </c>
      <c r="E28" s="143">
        <v>4000</v>
      </c>
      <c r="F28" s="143">
        <v>4000</v>
      </c>
      <c r="G28" s="143">
        <v>4500</v>
      </c>
      <c r="H28" s="143">
        <v>5500</v>
      </c>
      <c r="I28" s="143">
        <v>15000</v>
      </c>
      <c r="J28" s="143">
        <v>4500</v>
      </c>
      <c r="K28" s="143">
        <v>2500</v>
      </c>
      <c r="L28" s="143">
        <v>4000</v>
      </c>
      <c r="M28" s="143">
        <v>15000</v>
      </c>
      <c r="N28" s="143">
        <v>5500</v>
      </c>
      <c r="O28" s="143">
        <v>2500</v>
      </c>
      <c r="P28" s="143">
        <v>3000</v>
      </c>
      <c r="Q28" s="144">
        <f>SUM(E28:P28)</f>
        <v>70000</v>
      </c>
      <c r="R28" s="304"/>
      <c r="S28" s="109">
        <f>Q28/$Q$230</f>
        <v>4.3745898821985442E-3</v>
      </c>
    </row>
    <row r="29" spans="1:19" ht="15.75" hidden="1" outlineLevel="1" x14ac:dyDescent="0.25">
      <c r="A29" s="220" t="s">
        <v>11</v>
      </c>
      <c r="B29" s="217" t="s">
        <v>12</v>
      </c>
      <c r="C29" s="228" t="s">
        <v>90</v>
      </c>
      <c r="D29" s="77" t="s">
        <v>14</v>
      </c>
      <c r="E29" s="78"/>
      <c r="F29" s="78">
        <v>242.5</v>
      </c>
      <c r="G29" s="79"/>
      <c r="H29" s="80"/>
      <c r="I29" s="80"/>
      <c r="J29" s="80"/>
      <c r="K29" s="80"/>
      <c r="L29" s="80"/>
      <c r="M29" s="122"/>
      <c r="N29" s="122"/>
      <c r="O29" s="122"/>
      <c r="P29" s="122"/>
      <c r="Q29" s="90">
        <f>+SUM(E29:P29)</f>
        <v>242.5</v>
      </c>
      <c r="R29" s="303">
        <f>Q29/Q30</f>
        <v>8.0833333333333332E-4</v>
      </c>
      <c r="S29" s="110">
        <v>0</v>
      </c>
    </row>
    <row r="30" spans="1:19" ht="16.5" hidden="1" outlineLevel="1" thickBot="1" x14ac:dyDescent="0.3">
      <c r="A30" s="221"/>
      <c r="B30" s="129"/>
      <c r="C30" s="229"/>
      <c r="D30" s="81" t="s">
        <v>1</v>
      </c>
      <c r="E30" s="143"/>
      <c r="F30" s="143"/>
      <c r="G30" s="143"/>
      <c r="H30" s="143"/>
      <c r="I30" s="143"/>
      <c r="J30" s="143"/>
      <c r="K30" s="143"/>
      <c r="L30" s="143"/>
      <c r="M30" s="143">
        <v>300000</v>
      </c>
      <c r="N30" s="143"/>
      <c r="O30" s="143"/>
      <c r="P30" s="143"/>
      <c r="Q30" s="144">
        <f>SUM(E30:P30)</f>
        <v>300000</v>
      </c>
      <c r="R30" s="304"/>
      <c r="S30" s="109">
        <f>Q30/$Q$230</f>
        <v>1.8748242352279475E-2</v>
      </c>
    </row>
    <row r="31" spans="1:19" ht="15.75" hidden="1" outlineLevel="1" x14ac:dyDescent="0.25">
      <c r="A31" s="220" t="s">
        <v>11</v>
      </c>
      <c r="B31" s="217" t="s">
        <v>12</v>
      </c>
      <c r="C31" s="228" t="s">
        <v>20</v>
      </c>
      <c r="D31" s="77" t="s">
        <v>14</v>
      </c>
      <c r="E31" s="78">
        <v>6727</v>
      </c>
      <c r="F31" s="78"/>
      <c r="G31" s="79">
        <v>1376</v>
      </c>
      <c r="H31" s="80"/>
      <c r="I31" s="80"/>
      <c r="J31" s="80"/>
      <c r="K31" s="80"/>
      <c r="L31" s="80"/>
      <c r="M31" s="122"/>
      <c r="N31" s="122"/>
      <c r="O31" s="122"/>
      <c r="P31" s="122"/>
      <c r="Q31" s="90">
        <f>+SUM(E31:P31)</f>
        <v>8103</v>
      </c>
      <c r="R31" s="303">
        <f>Q31/Q32</f>
        <v>7.3663636363636362E-2</v>
      </c>
      <c r="S31" s="110">
        <v>0</v>
      </c>
    </row>
    <row r="32" spans="1:19" ht="16.5" hidden="1" outlineLevel="1" thickBot="1" x14ac:dyDescent="0.3">
      <c r="A32" s="221"/>
      <c r="B32" s="129"/>
      <c r="C32" s="229"/>
      <c r="D32" s="81" t="s">
        <v>1</v>
      </c>
      <c r="E32" s="143">
        <v>25000</v>
      </c>
      <c r="F32" s="143">
        <v>25000</v>
      </c>
      <c r="G32" s="143">
        <v>20000</v>
      </c>
      <c r="H32" s="143">
        <v>10000</v>
      </c>
      <c r="I32" s="143"/>
      <c r="J32" s="143"/>
      <c r="K32" s="143">
        <v>20000</v>
      </c>
      <c r="L32" s="143"/>
      <c r="M32" s="143"/>
      <c r="N32" s="143"/>
      <c r="O32" s="143"/>
      <c r="P32" s="143">
        <v>10000</v>
      </c>
      <c r="Q32" s="144">
        <f>SUM(E32:P32)</f>
        <v>110000</v>
      </c>
      <c r="R32" s="304"/>
      <c r="S32" s="109">
        <f>Q32/$Q$230</f>
        <v>6.8743555291691403E-3</v>
      </c>
    </row>
    <row r="33" spans="1:21" ht="15.75" hidden="1" outlineLevel="1" x14ac:dyDescent="0.25">
      <c r="A33" s="220" t="s">
        <v>11</v>
      </c>
      <c r="B33" s="217" t="s">
        <v>12</v>
      </c>
      <c r="C33" s="228" t="s">
        <v>130</v>
      </c>
      <c r="D33" s="77" t="s">
        <v>14</v>
      </c>
      <c r="E33" s="78">
        <v>13608</v>
      </c>
      <c r="F33" s="78">
        <v>8708.08</v>
      </c>
      <c r="G33" s="79">
        <v>40710.54</v>
      </c>
      <c r="H33" s="80"/>
      <c r="I33" s="80"/>
      <c r="J33" s="80"/>
      <c r="K33" s="80"/>
      <c r="L33" s="80"/>
      <c r="M33" s="122"/>
      <c r="N33" s="122"/>
      <c r="O33" s="122"/>
      <c r="P33" s="122"/>
      <c r="Q33" s="90">
        <f>+SUM(E33:P33)</f>
        <v>63026.62</v>
      </c>
      <c r="R33" s="303">
        <f>Q33/Q34</f>
        <v>0.21008873333333333</v>
      </c>
      <c r="S33" s="110">
        <v>0</v>
      </c>
    </row>
    <row r="34" spans="1:21" ht="16.5" hidden="1" outlineLevel="1" thickBot="1" x14ac:dyDescent="0.3">
      <c r="A34" s="221"/>
      <c r="B34" s="129"/>
      <c r="C34" s="229"/>
      <c r="D34" s="81" t="s">
        <v>1</v>
      </c>
      <c r="E34" s="143">
        <v>17000</v>
      </c>
      <c r="F34" s="143">
        <v>17000</v>
      </c>
      <c r="G34" s="143">
        <v>113000</v>
      </c>
      <c r="H34" s="143">
        <v>17000</v>
      </c>
      <c r="I34" s="143">
        <v>17000</v>
      </c>
      <c r="J34" s="143">
        <v>17000</v>
      </c>
      <c r="K34" s="143">
        <v>17000</v>
      </c>
      <c r="L34" s="143">
        <v>17000</v>
      </c>
      <c r="M34" s="143">
        <v>17000</v>
      </c>
      <c r="N34" s="143">
        <v>17000</v>
      </c>
      <c r="O34" s="143">
        <v>17000</v>
      </c>
      <c r="P34" s="143">
        <v>17000</v>
      </c>
      <c r="Q34" s="144">
        <f>SUM(E34:P34)</f>
        <v>300000</v>
      </c>
      <c r="R34" s="304"/>
      <c r="S34" s="109">
        <f>Q34/$Q$230</f>
        <v>1.8748242352279475E-2</v>
      </c>
    </row>
    <row r="35" spans="1:21" ht="15.75" hidden="1" outlineLevel="1" x14ac:dyDescent="0.25">
      <c r="A35" s="220" t="s">
        <v>11</v>
      </c>
      <c r="B35" s="217" t="s">
        <v>12</v>
      </c>
      <c r="C35" s="228" t="s">
        <v>21</v>
      </c>
      <c r="D35" s="77" t="s">
        <v>14</v>
      </c>
      <c r="E35" s="78">
        <v>8256.5400000000009</v>
      </c>
      <c r="F35" s="78">
        <v>9453.9</v>
      </c>
      <c r="G35" s="79">
        <v>7183</v>
      </c>
      <c r="H35" s="80"/>
      <c r="I35" s="80"/>
      <c r="J35" s="80"/>
      <c r="K35" s="80"/>
      <c r="L35" s="80"/>
      <c r="M35" s="122"/>
      <c r="N35" s="122"/>
      <c r="O35" s="122"/>
      <c r="P35" s="122"/>
      <c r="Q35" s="90">
        <f>+SUM(E35:P35)</f>
        <v>24893.440000000002</v>
      </c>
      <c r="R35" s="303">
        <f>Q35/Q36</f>
        <v>0.24893440000000003</v>
      </c>
      <c r="S35" s="110">
        <v>0</v>
      </c>
    </row>
    <row r="36" spans="1:21" ht="16.5" hidden="1" outlineLevel="1" thickBot="1" x14ac:dyDescent="0.3">
      <c r="A36" s="221"/>
      <c r="B36" s="129"/>
      <c r="C36" s="229"/>
      <c r="D36" s="81" t="s">
        <v>1</v>
      </c>
      <c r="E36" s="143">
        <v>8500</v>
      </c>
      <c r="F36" s="143">
        <v>8500</v>
      </c>
      <c r="G36" s="143">
        <v>8500</v>
      </c>
      <c r="H36" s="143">
        <v>8500</v>
      </c>
      <c r="I36" s="143">
        <v>8500</v>
      </c>
      <c r="J36" s="143">
        <v>8500</v>
      </c>
      <c r="K36" s="143">
        <v>8000</v>
      </c>
      <c r="L36" s="143">
        <v>8000</v>
      </c>
      <c r="M36" s="143">
        <v>8500</v>
      </c>
      <c r="N36" s="143">
        <v>8500</v>
      </c>
      <c r="O36" s="143">
        <v>8000</v>
      </c>
      <c r="P36" s="143">
        <v>8000</v>
      </c>
      <c r="Q36" s="144">
        <f>SUM(E36:P36)</f>
        <v>100000</v>
      </c>
      <c r="R36" s="304"/>
      <c r="S36" s="109">
        <f>Q36/$Q$230</f>
        <v>6.2494141174264913E-3</v>
      </c>
    </row>
    <row r="37" spans="1:21" ht="15.75" hidden="1" outlineLevel="1" x14ac:dyDescent="0.25">
      <c r="A37" s="220" t="s">
        <v>11</v>
      </c>
      <c r="B37" s="217" t="s">
        <v>12</v>
      </c>
      <c r="C37" s="228" t="s">
        <v>74</v>
      </c>
      <c r="D37" s="77" t="s">
        <v>14</v>
      </c>
      <c r="E37" s="78">
        <v>206250</v>
      </c>
      <c r="F37" s="78">
        <v>165000</v>
      </c>
      <c r="G37" s="79"/>
      <c r="H37" s="80"/>
      <c r="I37" s="80"/>
      <c r="J37" s="80"/>
      <c r="K37" s="80"/>
      <c r="L37" s="80"/>
      <c r="M37" s="78"/>
      <c r="N37" s="78"/>
      <c r="O37" s="79"/>
      <c r="P37" s="80"/>
      <c r="Q37" s="90">
        <f>+SUM(E37:P37)</f>
        <v>371250</v>
      </c>
      <c r="R37" s="303">
        <f>Q37/Q38</f>
        <v>0.80706521739130432</v>
      </c>
      <c r="S37" s="110">
        <v>0</v>
      </c>
    </row>
    <row r="38" spans="1:21" ht="16.5" hidden="1" outlineLevel="1" thickBot="1" x14ac:dyDescent="0.3">
      <c r="A38" s="221"/>
      <c r="B38" s="129"/>
      <c r="C38" s="229"/>
      <c r="D38" s="81" t="s">
        <v>1</v>
      </c>
      <c r="E38" s="143">
        <v>210000</v>
      </c>
      <c r="F38" s="143"/>
      <c r="G38" s="143">
        <v>165000</v>
      </c>
      <c r="H38" s="143"/>
      <c r="I38" s="143"/>
      <c r="J38" s="143"/>
      <c r="K38" s="143"/>
      <c r="L38" s="143"/>
      <c r="M38" s="143"/>
      <c r="N38" s="143">
        <v>85000</v>
      </c>
      <c r="O38" s="143"/>
      <c r="P38" s="143"/>
      <c r="Q38" s="144">
        <f>SUM(E38:P38)</f>
        <v>460000</v>
      </c>
      <c r="R38" s="304"/>
      <c r="S38" s="109">
        <f>Q38/$Q$230</f>
        <v>2.8747304940161859E-2</v>
      </c>
    </row>
    <row r="39" spans="1:21" ht="15.75" hidden="1" outlineLevel="1" x14ac:dyDescent="0.25">
      <c r="A39" s="220" t="s">
        <v>11</v>
      </c>
      <c r="B39" s="217" t="s">
        <v>12</v>
      </c>
      <c r="C39" s="222" t="s">
        <v>22</v>
      </c>
      <c r="D39" s="77" t="s">
        <v>14</v>
      </c>
      <c r="E39" s="78">
        <v>5868</v>
      </c>
      <c r="F39" s="78">
        <v>26762</v>
      </c>
      <c r="G39" s="79">
        <v>12594</v>
      </c>
      <c r="H39" s="120"/>
      <c r="I39" s="120"/>
      <c r="J39" s="80"/>
      <c r="K39" s="80"/>
      <c r="L39" s="80"/>
      <c r="M39" s="80"/>
      <c r="N39" s="120"/>
      <c r="O39" s="120"/>
      <c r="P39" s="120"/>
      <c r="Q39" s="90">
        <f>+SUM(E39:P39)</f>
        <v>45224</v>
      </c>
      <c r="R39" s="303">
        <f>Q39/Q40</f>
        <v>0.32302857142857144</v>
      </c>
      <c r="S39" s="110">
        <v>0</v>
      </c>
    </row>
    <row r="40" spans="1:21" ht="16.5" hidden="1" outlineLevel="1" thickBot="1" x14ac:dyDescent="0.3">
      <c r="A40" s="221"/>
      <c r="B40" s="129"/>
      <c r="C40" s="223"/>
      <c r="D40" s="81" t="s">
        <v>1</v>
      </c>
      <c r="E40" s="146">
        <v>10000</v>
      </c>
      <c r="F40" s="146">
        <v>10000</v>
      </c>
      <c r="G40" s="146">
        <v>6000</v>
      </c>
      <c r="H40" s="146">
        <v>10000</v>
      </c>
      <c r="I40" s="146">
        <v>20000</v>
      </c>
      <c r="J40" s="146">
        <v>40000</v>
      </c>
      <c r="K40" s="146">
        <v>5000</v>
      </c>
      <c r="L40" s="146">
        <v>6000</v>
      </c>
      <c r="M40" s="146">
        <v>8000</v>
      </c>
      <c r="N40" s="146">
        <v>8000</v>
      </c>
      <c r="O40" s="146">
        <v>7000</v>
      </c>
      <c r="P40" s="146">
        <v>10000</v>
      </c>
      <c r="Q40" s="144">
        <f>SUM(E40:P40)</f>
        <v>140000</v>
      </c>
      <c r="R40" s="304"/>
      <c r="S40" s="109">
        <f>Q40/$Q$230</f>
        <v>8.7491797643970883E-3</v>
      </c>
    </row>
    <row r="41" spans="1:21" ht="15.75" hidden="1" outlineLevel="1" x14ac:dyDescent="0.25">
      <c r="A41" s="220" t="s">
        <v>11</v>
      </c>
      <c r="B41" s="217" t="s">
        <v>12</v>
      </c>
      <c r="C41" s="228" t="s">
        <v>132</v>
      </c>
      <c r="D41" s="77" t="s">
        <v>14</v>
      </c>
      <c r="E41" s="78">
        <v>3345</v>
      </c>
      <c r="F41" s="78">
        <v>2248</v>
      </c>
      <c r="G41" s="79">
        <v>330</v>
      </c>
      <c r="H41" s="80"/>
      <c r="I41" s="80"/>
      <c r="J41" s="80"/>
      <c r="K41" s="80"/>
      <c r="L41" s="80"/>
      <c r="M41" s="122"/>
      <c r="N41" s="122"/>
      <c r="O41" s="122"/>
      <c r="P41" s="122"/>
      <c r="Q41" s="90">
        <f>+SUM(E41:P41)</f>
        <v>5923</v>
      </c>
      <c r="R41" s="303">
        <f>Q41/Q42</f>
        <v>0.16922857142857142</v>
      </c>
      <c r="S41" s="110">
        <v>0</v>
      </c>
    </row>
    <row r="42" spans="1:21" ht="16.5" hidden="1" outlineLevel="1" thickBot="1" x14ac:dyDescent="0.3">
      <c r="A42" s="221"/>
      <c r="B42" s="129"/>
      <c r="C42" s="229"/>
      <c r="D42" s="81" t="s">
        <v>1</v>
      </c>
      <c r="E42" s="143">
        <v>3000</v>
      </c>
      <c r="F42" s="143"/>
      <c r="G42" s="143">
        <v>10000</v>
      </c>
      <c r="H42" s="143">
        <v>3000</v>
      </c>
      <c r="I42" s="143">
        <v>5500</v>
      </c>
      <c r="J42" s="143"/>
      <c r="K42" s="143"/>
      <c r="L42" s="143">
        <v>5500</v>
      </c>
      <c r="M42" s="143">
        <v>3000</v>
      </c>
      <c r="N42" s="143"/>
      <c r="O42" s="143">
        <v>2500</v>
      </c>
      <c r="P42" s="143">
        <v>2500</v>
      </c>
      <c r="Q42" s="144">
        <f>SUM(E42:P42)</f>
        <v>35000</v>
      </c>
      <c r="R42" s="304"/>
      <c r="S42" s="109">
        <f>Q42/$Q$230</f>
        <v>2.1872949410992721E-3</v>
      </c>
    </row>
    <row r="43" spans="1:21" ht="15.75" hidden="1" outlineLevel="1" x14ac:dyDescent="0.25">
      <c r="A43" s="220" t="s">
        <v>11</v>
      </c>
      <c r="B43" s="217" t="s">
        <v>23</v>
      </c>
      <c r="C43" s="218" t="s">
        <v>24</v>
      </c>
      <c r="D43" s="77" t="s">
        <v>14</v>
      </c>
      <c r="E43" s="80">
        <v>55460.25</v>
      </c>
      <c r="F43" s="78">
        <v>53687.9</v>
      </c>
      <c r="G43" s="79">
        <v>40257.93</v>
      </c>
      <c r="H43" s="80"/>
      <c r="I43" s="80"/>
      <c r="J43" s="80"/>
      <c r="K43" s="80"/>
      <c r="L43" s="80"/>
      <c r="M43" s="122"/>
      <c r="N43" s="122"/>
      <c r="O43" s="122"/>
      <c r="P43" s="122"/>
      <c r="Q43" s="90">
        <f>+SUM(E43:P43)</f>
        <v>149406.07999999999</v>
      </c>
      <c r="R43" s="306">
        <f>Q43/Q45</f>
        <v>0.16418250549450547</v>
      </c>
      <c r="S43" s="110">
        <v>0</v>
      </c>
    </row>
    <row r="44" spans="1:21" ht="15.75" hidden="1" outlineLevel="1" x14ac:dyDescent="0.25">
      <c r="A44" s="221"/>
      <c r="B44" s="129"/>
      <c r="C44" s="219"/>
      <c r="D44" s="84" t="s">
        <v>25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91">
        <f>SUM(E44:P44)</f>
        <v>0</v>
      </c>
      <c r="R44" s="307"/>
      <c r="S44" s="111">
        <v>0</v>
      </c>
      <c r="U44" s="130"/>
    </row>
    <row r="45" spans="1:21" ht="16.5" hidden="1" outlineLevel="1" thickBot="1" x14ac:dyDescent="0.3">
      <c r="A45" s="221"/>
      <c r="B45" s="129"/>
      <c r="C45" s="219"/>
      <c r="D45" s="81" t="s">
        <v>1</v>
      </c>
      <c r="E45" s="143">
        <v>85000</v>
      </c>
      <c r="F45" s="143">
        <v>60000</v>
      </c>
      <c r="G45" s="143">
        <v>80000</v>
      </c>
      <c r="H45" s="143">
        <v>90000</v>
      </c>
      <c r="I45" s="143">
        <v>100000</v>
      </c>
      <c r="J45" s="143">
        <v>60000</v>
      </c>
      <c r="K45" s="143">
        <v>60000</v>
      </c>
      <c r="L45" s="143">
        <v>60000</v>
      </c>
      <c r="M45" s="143">
        <v>60000</v>
      </c>
      <c r="N45" s="143">
        <v>85000</v>
      </c>
      <c r="O45" s="143">
        <v>85000</v>
      </c>
      <c r="P45" s="143">
        <v>85000</v>
      </c>
      <c r="Q45" s="145">
        <f>SUM(E45:P45)</f>
        <v>910000</v>
      </c>
      <c r="R45" s="307"/>
      <c r="S45" s="109">
        <f>Q45/$Q$230</f>
        <v>5.6869668468581068E-2</v>
      </c>
      <c r="U45" s="130"/>
    </row>
    <row r="46" spans="1:21" ht="17.25" collapsed="1" thickTop="1" thickBot="1" x14ac:dyDescent="0.25">
      <c r="A46" s="230" t="s">
        <v>11</v>
      </c>
      <c r="B46" s="232" t="s">
        <v>0</v>
      </c>
      <c r="C46" s="230" t="s">
        <v>0</v>
      </c>
      <c r="D46" s="58" t="s">
        <v>14</v>
      </c>
      <c r="E46" s="83">
        <f>SUM(E43,E41,E39,E37,E35,E33,E31,E29,E27,E25,E23,E21,E19,E17,E15,E13,E11,E9,E7,E5,E3,E44)</f>
        <v>535661.17000000004</v>
      </c>
      <c r="F46" s="83">
        <v>524289.72779999999</v>
      </c>
      <c r="G46" s="83">
        <f t="shared" ref="G46:Q46" si="0">SUM(G43,G41,G39,G37,G35,G33,G31,G29,G27,G25,G23,G21,G19,G17,G15,G13,G11,G9,G7,G5,G3,G44)</f>
        <v>392169.35749999998</v>
      </c>
      <c r="H46" s="83">
        <f t="shared" si="0"/>
        <v>0</v>
      </c>
      <c r="I46" s="83">
        <f t="shared" si="0"/>
        <v>0</v>
      </c>
      <c r="J46" s="83">
        <f t="shared" si="0"/>
        <v>0</v>
      </c>
      <c r="K46" s="83">
        <f t="shared" si="0"/>
        <v>0</v>
      </c>
      <c r="L46" s="83">
        <f t="shared" si="0"/>
        <v>0</v>
      </c>
      <c r="M46" s="83">
        <f t="shared" si="0"/>
        <v>0</v>
      </c>
      <c r="N46" s="83">
        <f t="shared" si="0"/>
        <v>0</v>
      </c>
      <c r="O46" s="83">
        <f t="shared" si="0"/>
        <v>0</v>
      </c>
      <c r="P46" s="83">
        <f t="shared" si="0"/>
        <v>0</v>
      </c>
      <c r="Q46" s="83">
        <f t="shared" si="0"/>
        <v>1452120.2553000001</v>
      </c>
      <c r="R46" s="318">
        <f>Q46/Q47</f>
        <v>0.32197788365853658</v>
      </c>
      <c r="S46" s="110">
        <v>0</v>
      </c>
      <c r="T46" s="130"/>
    </row>
    <row r="47" spans="1:21" ht="17.25" thickTop="1" thickBot="1" x14ac:dyDescent="0.3">
      <c r="A47" s="231"/>
      <c r="B47" s="233"/>
      <c r="C47" s="231"/>
      <c r="D47" s="59" t="s">
        <v>1</v>
      </c>
      <c r="E47" s="12">
        <f>SUM(E45,E42,E40,E38,E36,E34,E32,E30,E28,E26,E24,E22,E20,E18,E16,E14,E12,E10,E8,E6,E4)</f>
        <v>533500</v>
      </c>
      <c r="F47" s="12">
        <v>298700</v>
      </c>
      <c r="G47" s="12">
        <f t="shared" ref="G47:Q47" si="1">SUM(G45,G42,G40,G38,G36,G34,G32,G30,G28,G26,G24,G22,G20,G18,G16,G14,G12,G10,G8,G6,G4)</f>
        <v>770100</v>
      </c>
      <c r="H47" s="12">
        <f t="shared" si="1"/>
        <v>284500</v>
      </c>
      <c r="I47" s="12">
        <f t="shared" si="1"/>
        <v>332950</v>
      </c>
      <c r="J47" s="12">
        <f t="shared" si="1"/>
        <v>275500</v>
      </c>
      <c r="K47" s="12">
        <f t="shared" si="1"/>
        <v>247000</v>
      </c>
      <c r="L47" s="12">
        <f t="shared" si="1"/>
        <v>239500</v>
      </c>
      <c r="M47" s="12">
        <f t="shared" si="1"/>
        <v>576750</v>
      </c>
      <c r="N47" s="12">
        <f t="shared" si="1"/>
        <v>365200</v>
      </c>
      <c r="O47" s="12">
        <f t="shared" si="1"/>
        <v>285650</v>
      </c>
      <c r="P47" s="12">
        <f t="shared" si="1"/>
        <v>300650</v>
      </c>
      <c r="Q47" s="12">
        <f t="shared" si="1"/>
        <v>4510000</v>
      </c>
      <c r="R47" s="318"/>
      <c r="S47" s="109">
        <f>Q47/$Q$230</f>
        <v>0.28184857669593477</v>
      </c>
    </row>
    <row r="48" spans="1:21" ht="17.25" thickTop="1" thickBot="1" x14ac:dyDescent="0.3">
      <c r="A48" s="231"/>
      <c r="B48" s="233"/>
      <c r="C48" s="231"/>
      <c r="D48" s="60" t="s">
        <v>2</v>
      </c>
      <c r="E48" s="14">
        <f t="shared" ref="E48:K48" si="2">E46/E47</f>
        <v>1.0040509278350516</v>
      </c>
      <c r="F48" s="14">
        <v>1.7552384593237362</v>
      </c>
      <c r="G48" s="14">
        <f t="shared" si="2"/>
        <v>0.50924471821841322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v>0</v>
      </c>
      <c r="M48" s="14">
        <v>0</v>
      </c>
      <c r="N48" s="14">
        <v>0</v>
      </c>
      <c r="O48" s="14">
        <v>0</v>
      </c>
      <c r="P48" s="38">
        <v>0</v>
      </c>
      <c r="Q48" s="43">
        <f>Q46/Q47</f>
        <v>0.32197788365853658</v>
      </c>
      <c r="R48" s="318"/>
      <c r="S48" s="127"/>
    </row>
    <row r="49" spans="1:19" ht="17.25" thickTop="1" thickBot="1" x14ac:dyDescent="0.3">
      <c r="A49" s="231"/>
      <c r="B49" s="233"/>
      <c r="C49" s="231"/>
      <c r="D49" s="61" t="s">
        <v>3</v>
      </c>
      <c r="E49" s="15">
        <f t="shared" ref="E49:P49" si="3">E46-E47</f>
        <v>2161.1700000000419</v>
      </c>
      <c r="F49" s="15">
        <v>225589.72779999999</v>
      </c>
      <c r="G49" s="15">
        <f t="shared" si="3"/>
        <v>-377930.64250000002</v>
      </c>
      <c r="H49" s="15">
        <f t="shared" si="3"/>
        <v>-284500</v>
      </c>
      <c r="I49" s="15">
        <f t="shared" si="3"/>
        <v>-332950</v>
      </c>
      <c r="J49" s="15">
        <f t="shared" si="3"/>
        <v>-275500</v>
      </c>
      <c r="K49" s="15">
        <f t="shared" si="3"/>
        <v>-247000</v>
      </c>
      <c r="L49" s="15">
        <f t="shared" si="3"/>
        <v>-239500</v>
      </c>
      <c r="M49" s="15">
        <f t="shared" si="3"/>
        <v>-576750</v>
      </c>
      <c r="N49" s="15">
        <f t="shared" si="3"/>
        <v>-365200</v>
      </c>
      <c r="O49" s="15">
        <f t="shared" si="3"/>
        <v>-285650</v>
      </c>
      <c r="P49" s="15">
        <f t="shared" si="3"/>
        <v>-300650</v>
      </c>
      <c r="Q49" s="44">
        <f>Q46-Q47</f>
        <v>-3057879.7446999997</v>
      </c>
      <c r="R49" s="318"/>
      <c r="S49" s="128"/>
    </row>
    <row r="50" spans="1:19" ht="17.25" thickTop="1" thickBot="1" x14ac:dyDescent="0.3">
      <c r="A50" s="231"/>
      <c r="B50" s="233"/>
      <c r="C50" s="231"/>
      <c r="D50" s="62" t="s">
        <v>4</v>
      </c>
      <c r="E50" s="16">
        <f t="shared" ref="E50:K50" si="4">E49/E46</f>
        <v>4.0345840263165643E-3</v>
      </c>
      <c r="F50" s="16">
        <v>0.43027684091124396</v>
      </c>
      <c r="G50" s="16">
        <f t="shared" si="4"/>
        <v>-0.96369243356806644</v>
      </c>
      <c r="H50" s="16" t="e">
        <f t="shared" si="4"/>
        <v>#DIV/0!</v>
      </c>
      <c r="I50" s="16" t="e">
        <f t="shared" si="4"/>
        <v>#DIV/0!</v>
      </c>
      <c r="J50" s="16" t="e">
        <f t="shared" si="4"/>
        <v>#DIV/0!</v>
      </c>
      <c r="K50" s="16" t="e">
        <f t="shared" si="4"/>
        <v>#DIV/0!</v>
      </c>
      <c r="L50" s="16" t="e">
        <v>#DIV/0!</v>
      </c>
      <c r="M50" s="16" t="e">
        <v>#DIV/0!</v>
      </c>
      <c r="N50" s="16" t="e">
        <v>#DIV/0!</v>
      </c>
      <c r="O50" s="16" t="e">
        <v>#DIV/0!</v>
      </c>
      <c r="P50" s="39" t="e">
        <v>#DIV/0!</v>
      </c>
      <c r="Q50" s="45">
        <f>Q49/Q46</f>
        <v>-2.1058033820127786</v>
      </c>
      <c r="R50" s="17"/>
      <c r="S50" s="105"/>
    </row>
    <row r="51" spans="1:19" ht="16.5" thickTop="1" thickBot="1" x14ac:dyDescent="0.25">
      <c r="A51" s="6"/>
      <c r="B51" s="6"/>
      <c r="C51" s="75"/>
      <c r="D51" s="63" t="s">
        <v>26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7"/>
      <c r="Q51" s="63"/>
      <c r="R51" s="86"/>
      <c r="S51" s="106"/>
    </row>
    <row r="52" spans="1:19" ht="15.75" hidden="1" outlineLevel="1" x14ac:dyDescent="0.25">
      <c r="A52" s="220" t="s">
        <v>27</v>
      </c>
      <c r="B52" s="217" t="s">
        <v>12</v>
      </c>
      <c r="C52" s="228" t="s">
        <v>109</v>
      </c>
      <c r="D52" s="77" t="s">
        <v>14</v>
      </c>
      <c r="E52" s="78">
        <v>5898.4</v>
      </c>
      <c r="F52" s="78">
        <v>9212.91</v>
      </c>
      <c r="G52" s="79">
        <v>5399.8081999999995</v>
      </c>
      <c r="H52" s="80"/>
      <c r="I52" s="80"/>
      <c r="J52" s="80"/>
      <c r="K52" s="80"/>
      <c r="L52" s="80"/>
      <c r="M52" s="122"/>
      <c r="N52" s="122"/>
      <c r="O52" s="122"/>
      <c r="P52" s="122"/>
      <c r="Q52" s="90">
        <f>+SUM(E52:P52)</f>
        <v>20511.118199999997</v>
      </c>
      <c r="R52" s="303">
        <f>Q52/Q53</f>
        <v>0.25638897749999995</v>
      </c>
      <c r="S52" s="110">
        <v>0</v>
      </c>
    </row>
    <row r="53" spans="1:19" ht="16.5" hidden="1" outlineLevel="1" thickBot="1" x14ac:dyDescent="0.3">
      <c r="A53" s="221"/>
      <c r="B53" s="129"/>
      <c r="C53" s="229"/>
      <c r="D53" s="81" t="s">
        <v>1</v>
      </c>
      <c r="E53" s="82">
        <v>6500</v>
      </c>
      <c r="F53" s="82">
        <v>6500</v>
      </c>
      <c r="G53" s="82">
        <v>6500</v>
      </c>
      <c r="H53" s="82">
        <v>6500</v>
      </c>
      <c r="I53" s="82">
        <v>7500</v>
      </c>
      <c r="J53" s="82">
        <v>6500</v>
      </c>
      <c r="K53" s="82">
        <v>5500</v>
      </c>
      <c r="L53" s="82">
        <v>5500</v>
      </c>
      <c r="M53" s="82">
        <v>7000</v>
      </c>
      <c r="N53" s="82">
        <v>7000</v>
      </c>
      <c r="O53" s="82">
        <v>7500</v>
      </c>
      <c r="P53" s="82">
        <v>7500</v>
      </c>
      <c r="Q53" s="144">
        <f>SUM(E53:P53)</f>
        <v>80000</v>
      </c>
      <c r="R53" s="304"/>
      <c r="S53" s="109">
        <f>Q53/$Q$230</f>
        <v>4.9995312939411932E-3</v>
      </c>
    </row>
    <row r="54" spans="1:19" ht="15.75" hidden="1" outlineLevel="1" x14ac:dyDescent="0.25">
      <c r="A54" s="220" t="s">
        <v>27</v>
      </c>
      <c r="B54" s="129"/>
      <c r="C54" s="226" t="s">
        <v>32</v>
      </c>
      <c r="D54" s="77" t="s">
        <v>14</v>
      </c>
      <c r="E54" s="78">
        <v>10317</v>
      </c>
      <c r="F54" s="78">
        <v>8865</v>
      </c>
      <c r="G54" s="79">
        <v>3577.0450000000001</v>
      </c>
      <c r="H54" s="80"/>
      <c r="I54" s="80"/>
      <c r="J54" s="80"/>
      <c r="K54" s="80"/>
      <c r="L54" s="80"/>
      <c r="M54" s="80"/>
      <c r="N54" s="80"/>
      <c r="O54" s="80"/>
      <c r="P54" s="80"/>
      <c r="Q54" s="90">
        <f>+SUM(E54:P54)</f>
        <v>22759.044999999998</v>
      </c>
      <c r="R54" s="303">
        <f>Q54/Q55</f>
        <v>0.15172696666666666</v>
      </c>
      <c r="S54" s="110">
        <v>0</v>
      </c>
    </row>
    <row r="55" spans="1:19" ht="16.5" hidden="1" outlineLevel="1" thickBot="1" x14ac:dyDescent="0.3">
      <c r="A55" s="221"/>
      <c r="B55" s="129"/>
      <c r="C55" s="227"/>
      <c r="D55" s="140" t="s">
        <v>1</v>
      </c>
      <c r="E55" s="88">
        <v>12000</v>
      </c>
      <c r="F55" s="88">
        <v>12000</v>
      </c>
      <c r="G55" s="88">
        <v>12000</v>
      </c>
      <c r="H55" s="88">
        <v>12000</v>
      </c>
      <c r="I55" s="88">
        <v>12000</v>
      </c>
      <c r="J55" s="88">
        <v>12000</v>
      </c>
      <c r="K55" s="88">
        <v>12000</v>
      </c>
      <c r="L55" s="88">
        <v>12000</v>
      </c>
      <c r="M55" s="88">
        <v>15000</v>
      </c>
      <c r="N55" s="88">
        <v>12000</v>
      </c>
      <c r="O55" s="88">
        <v>12000</v>
      </c>
      <c r="P55" s="88">
        <v>15000</v>
      </c>
      <c r="Q55" s="144">
        <f>SUM(E55:P55)</f>
        <v>150000</v>
      </c>
      <c r="R55" s="304"/>
      <c r="S55" s="109">
        <f>Q55/$Q$230</f>
        <v>9.3741211761397374E-3</v>
      </c>
    </row>
    <row r="56" spans="1:19" ht="15.75" hidden="1" outlineLevel="1" x14ac:dyDescent="0.25">
      <c r="A56" s="220" t="s">
        <v>27</v>
      </c>
      <c r="B56" s="129"/>
      <c r="C56" s="226" t="s">
        <v>76</v>
      </c>
      <c r="D56" s="77" t="s">
        <v>14</v>
      </c>
      <c r="E56" s="78"/>
      <c r="F56" s="78"/>
      <c r="G56" s="79"/>
      <c r="H56" s="80"/>
      <c r="I56" s="80"/>
      <c r="J56" s="80"/>
      <c r="K56" s="80"/>
      <c r="L56" s="80"/>
      <c r="M56" s="80"/>
      <c r="N56" s="80"/>
      <c r="O56" s="80"/>
      <c r="P56" s="80"/>
      <c r="Q56" s="90">
        <f>+SUM(E56:P56)</f>
        <v>0</v>
      </c>
      <c r="R56" s="303">
        <f>Q56/Q57</f>
        <v>0</v>
      </c>
      <c r="S56" s="110">
        <v>0</v>
      </c>
    </row>
    <row r="57" spans="1:19" ht="16.5" hidden="1" outlineLevel="1" thickBot="1" x14ac:dyDescent="0.3">
      <c r="A57" s="221"/>
      <c r="B57" s="129"/>
      <c r="C57" s="227"/>
      <c r="D57" s="140" t="s">
        <v>1</v>
      </c>
      <c r="E57" s="88">
        <v>10000</v>
      </c>
      <c r="F57" s="88">
        <v>10000</v>
      </c>
      <c r="G57" s="88">
        <v>10000</v>
      </c>
      <c r="H57" s="88">
        <v>10000</v>
      </c>
      <c r="I57" s="88">
        <v>10000</v>
      </c>
      <c r="J57" s="88">
        <v>8000</v>
      </c>
      <c r="K57" s="88"/>
      <c r="L57" s="88">
        <v>8000</v>
      </c>
      <c r="M57" s="88">
        <v>10000</v>
      </c>
      <c r="N57" s="88">
        <v>10000</v>
      </c>
      <c r="O57" s="88">
        <v>10000</v>
      </c>
      <c r="P57" s="88">
        <v>10000</v>
      </c>
      <c r="Q57" s="144">
        <f>SUM(E57:P57)</f>
        <v>106000</v>
      </c>
      <c r="R57" s="304"/>
      <c r="S57" s="109">
        <f>Q57/$Q$230</f>
        <v>6.6243789644720805E-3</v>
      </c>
    </row>
    <row r="58" spans="1:19" ht="15.75" hidden="1" outlineLevel="1" x14ac:dyDescent="0.25">
      <c r="A58" s="220" t="s">
        <v>27</v>
      </c>
      <c r="B58" s="217" t="s">
        <v>12</v>
      </c>
      <c r="C58" s="226" t="s">
        <v>135</v>
      </c>
      <c r="D58" s="77" t="s">
        <v>14</v>
      </c>
      <c r="E58" s="78">
        <v>904</v>
      </c>
      <c r="F58" s="78">
        <v>1172.75</v>
      </c>
      <c r="G58" s="79"/>
      <c r="H58" s="80"/>
      <c r="I58" s="80"/>
      <c r="J58" s="80"/>
      <c r="K58" s="80"/>
      <c r="L58" s="80"/>
      <c r="M58" s="80"/>
      <c r="N58" s="80"/>
      <c r="O58" s="80"/>
      <c r="P58" s="80"/>
      <c r="Q58" s="90">
        <f>+SUM(E58:P58)</f>
        <v>2076.75</v>
      </c>
      <c r="R58" s="303">
        <f>Q58/Q59</f>
        <v>6.9224999999999995E-2</v>
      </c>
      <c r="S58" s="110">
        <v>0</v>
      </c>
    </row>
    <row r="59" spans="1:19" ht="16.5" hidden="1" outlineLevel="1" thickBot="1" x14ac:dyDescent="0.3">
      <c r="A59" s="221"/>
      <c r="B59" s="129"/>
      <c r="C59" s="227"/>
      <c r="D59" s="81" t="s">
        <v>1</v>
      </c>
      <c r="E59" s="88">
        <v>2500</v>
      </c>
      <c r="F59" s="88">
        <v>2500</v>
      </c>
      <c r="G59" s="88">
        <v>2500</v>
      </c>
      <c r="H59" s="88">
        <v>2500</v>
      </c>
      <c r="I59" s="88">
        <v>2500</v>
      </c>
      <c r="J59" s="88">
        <v>2500</v>
      </c>
      <c r="K59" s="88">
        <v>2500</v>
      </c>
      <c r="L59" s="88">
        <v>2500</v>
      </c>
      <c r="M59" s="88">
        <v>2500</v>
      </c>
      <c r="N59" s="88">
        <v>2500</v>
      </c>
      <c r="O59" s="88">
        <v>2500</v>
      </c>
      <c r="P59" s="88">
        <v>2500</v>
      </c>
      <c r="Q59" s="144">
        <f>SUM(E59:P59)</f>
        <v>30000</v>
      </c>
      <c r="R59" s="304"/>
      <c r="S59" s="109">
        <f>Q59/$Q$230</f>
        <v>1.8748242352279473E-3</v>
      </c>
    </row>
    <row r="60" spans="1:19" ht="15.75" hidden="1" outlineLevel="1" x14ac:dyDescent="0.25">
      <c r="A60" s="220" t="s">
        <v>27</v>
      </c>
      <c r="B60" s="217" t="s">
        <v>12</v>
      </c>
      <c r="C60" s="226" t="s">
        <v>75</v>
      </c>
      <c r="D60" s="77" t="s">
        <v>14</v>
      </c>
      <c r="E60" s="78">
        <v>2522</v>
      </c>
      <c r="F60" s="78">
        <v>3239.5</v>
      </c>
      <c r="G60" s="79">
        <v>5167</v>
      </c>
      <c r="H60" s="80"/>
      <c r="I60" s="80"/>
      <c r="J60" s="80"/>
      <c r="K60" s="80"/>
      <c r="L60" s="80"/>
      <c r="M60" s="80"/>
      <c r="N60" s="80"/>
      <c r="O60" s="80"/>
      <c r="P60" s="80"/>
      <c r="Q60" s="90">
        <f>+SUM(E60:P60)</f>
        <v>10928.5</v>
      </c>
      <c r="R60" s="303">
        <f>Q60/Q61</f>
        <v>0.27321250000000002</v>
      </c>
      <c r="S60" s="110">
        <v>0</v>
      </c>
    </row>
    <row r="61" spans="1:19" ht="16.5" hidden="1" outlineLevel="1" thickBot="1" x14ac:dyDescent="0.3">
      <c r="A61" s="221"/>
      <c r="B61" s="129"/>
      <c r="C61" s="227"/>
      <c r="D61" s="81" t="s">
        <v>1</v>
      </c>
      <c r="E61" s="88">
        <v>3500</v>
      </c>
      <c r="F61" s="88">
        <v>3500</v>
      </c>
      <c r="G61" s="88">
        <v>3500</v>
      </c>
      <c r="H61" s="88">
        <v>3500</v>
      </c>
      <c r="I61" s="88">
        <v>3500</v>
      </c>
      <c r="J61" s="88">
        <v>3500</v>
      </c>
      <c r="K61" s="88">
        <v>3500</v>
      </c>
      <c r="L61" s="88">
        <v>3500</v>
      </c>
      <c r="M61" s="88">
        <v>3000</v>
      </c>
      <c r="N61" s="88">
        <v>3000</v>
      </c>
      <c r="O61" s="88">
        <v>3000</v>
      </c>
      <c r="P61" s="88">
        <v>3000</v>
      </c>
      <c r="Q61" s="144">
        <f>SUM(E61:P61)</f>
        <v>40000</v>
      </c>
      <c r="R61" s="304"/>
      <c r="S61" s="109">
        <f>Q61/$Q$230</f>
        <v>2.4997656469705966E-3</v>
      </c>
    </row>
    <row r="62" spans="1:19" ht="15.75" hidden="1" outlineLevel="1" x14ac:dyDescent="0.25">
      <c r="A62" s="220" t="s">
        <v>27</v>
      </c>
      <c r="B62" s="217" t="s">
        <v>12</v>
      </c>
      <c r="C62" s="226" t="s">
        <v>128</v>
      </c>
      <c r="D62" s="77" t="s">
        <v>14</v>
      </c>
      <c r="E62" s="78">
        <v>530</v>
      </c>
      <c r="F62" s="78">
        <v>4774.0200000000004</v>
      </c>
      <c r="G62" s="79">
        <v>1482</v>
      </c>
      <c r="H62" s="80"/>
      <c r="I62" s="80"/>
      <c r="J62" s="80"/>
      <c r="K62" s="80"/>
      <c r="L62" s="80"/>
      <c r="M62" s="80"/>
      <c r="N62" s="80"/>
      <c r="O62" s="80"/>
      <c r="P62" s="80"/>
      <c r="Q62" s="90">
        <f>+SUM(E62:P62)</f>
        <v>6786.02</v>
      </c>
      <c r="R62" s="303">
        <f>Q62/Q63</f>
        <v>0.33930100000000002</v>
      </c>
      <c r="S62" s="110">
        <v>0</v>
      </c>
    </row>
    <row r="63" spans="1:19" ht="16.5" hidden="1" outlineLevel="1" thickBot="1" x14ac:dyDescent="0.3">
      <c r="A63" s="221"/>
      <c r="B63" s="129"/>
      <c r="C63" s="227"/>
      <c r="D63" s="81" t="s">
        <v>1</v>
      </c>
      <c r="E63" s="88">
        <v>1500</v>
      </c>
      <c r="F63" s="88">
        <v>1500</v>
      </c>
      <c r="G63" s="88">
        <v>1500</v>
      </c>
      <c r="H63" s="88">
        <v>2000</v>
      </c>
      <c r="I63" s="88">
        <v>1500</v>
      </c>
      <c r="J63" s="88">
        <v>1500</v>
      </c>
      <c r="K63" s="88">
        <v>1500</v>
      </c>
      <c r="L63" s="88">
        <v>1500</v>
      </c>
      <c r="M63" s="88">
        <v>2000</v>
      </c>
      <c r="N63" s="88">
        <v>1500</v>
      </c>
      <c r="O63" s="88">
        <v>2000</v>
      </c>
      <c r="P63" s="88">
        <v>2000</v>
      </c>
      <c r="Q63" s="144">
        <f>SUM(E63:P63)</f>
        <v>20000</v>
      </c>
      <c r="R63" s="304"/>
      <c r="S63" s="109">
        <f>Q63/$Q$230</f>
        <v>1.2498828234852983E-3</v>
      </c>
    </row>
    <row r="64" spans="1:19" ht="15.75" hidden="1" outlineLevel="1" x14ac:dyDescent="0.25">
      <c r="A64" s="220" t="s">
        <v>27</v>
      </c>
      <c r="B64" s="217" t="s">
        <v>12</v>
      </c>
      <c r="C64" s="226" t="s">
        <v>28</v>
      </c>
      <c r="D64" s="77" t="s">
        <v>14</v>
      </c>
      <c r="E64" s="78">
        <v>295.5</v>
      </c>
      <c r="F64" s="78">
        <v>4558.46</v>
      </c>
      <c r="G64" s="79">
        <v>1045.5</v>
      </c>
      <c r="H64" s="80"/>
      <c r="I64" s="80"/>
      <c r="J64" s="80"/>
      <c r="K64" s="80"/>
      <c r="L64" s="80"/>
      <c r="M64" s="80"/>
      <c r="N64" s="80"/>
      <c r="O64" s="80"/>
      <c r="P64" s="80"/>
      <c r="Q64" s="90">
        <f>+SUM(E64:P64)</f>
        <v>5899.46</v>
      </c>
      <c r="R64" s="303">
        <f>Q64/Q65</f>
        <v>0.14748649999999999</v>
      </c>
      <c r="S64" s="110">
        <v>0</v>
      </c>
    </row>
    <row r="65" spans="1:21" ht="16.5" hidden="1" outlineLevel="1" thickBot="1" x14ac:dyDescent="0.3">
      <c r="A65" s="221"/>
      <c r="B65" s="129"/>
      <c r="C65" s="227"/>
      <c r="D65" s="81" t="s">
        <v>1</v>
      </c>
      <c r="E65" s="88">
        <v>3500</v>
      </c>
      <c r="F65" s="88">
        <v>3500</v>
      </c>
      <c r="G65" s="88">
        <v>3500</v>
      </c>
      <c r="H65" s="88">
        <v>3500</v>
      </c>
      <c r="I65" s="88">
        <v>3500</v>
      </c>
      <c r="J65" s="88">
        <v>3500</v>
      </c>
      <c r="K65" s="88">
        <v>3500</v>
      </c>
      <c r="L65" s="88">
        <v>3500</v>
      </c>
      <c r="M65" s="88">
        <v>3000</v>
      </c>
      <c r="N65" s="88">
        <v>3000</v>
      </c>
      <c r="O65" s="88">
        <v>3000</v>
      </c>
      <c r="P65" s="88">
        <v>3000</v>
      </c>
      <c r="Q65" s="144">
        <f>SUM(E65:P65)</f>
        <v>40000</v>
      </c>
      <c r="R65" s="304"/>
      <c r="S65" s="109">
        <f>Q65/$Q$230</f>
        <v>2.4997656469705966E-3</v>
      </c>
    </row>
    <row r="66" spans="1:21" ht="15.75" hidden="1" outlineLevel="1" x14ac:dyDescent="0.25">
      <c r="A66" s="220" t="s">
        <v>27</v>
      </c>
      <c r="B66" s="217" t="s">
        <v>12</v>
      </c>
      <c r="C66" s="226" t="s">
        <v>29</v>
      </c>
      <c r="D66" s="77" t="s">
        <v>14</v>
      </c>
      <c r="E66" s="78">
        <v>3703.5</v>
      </c>
      <c r="F66" s="78">
        <v>1075</v>
      </c>
      <c r="G66" s="79">
        <v>2628.5</v>
      </c>
      <c r="H66" s="80"/>
      <c r="I66" s="80"/>
      <c r="J66" s="80"/>
      <c r="K66" s="80"/>
      <c r="L66" s="80"/>
      <c r="M66" s="80"/>
      <c r="N66" s="80"/>
      <c r="O66" s="80"/>
      <c r="P66" s="80"/>
      <c r="Q66" s="90">
        <f>+SUM(E66:P66)</f>
        <v>7407</v>
      </c>
      <c r="R66" s="303">
        <f>Q66/Q67</f>
        <v>0.14813999999999999</v>
      </c>
      <c r="S66" s="110">
        <v>0</v>
      </c>
    </row>
    <row r="67" spans="1:21" ht="16.5" hidden="1" outlineLevel="1" thickBot="1" x14ac:dyDescent="0.3">
      <c r="A67" s="221"/>
      <c r="B67" s="129"/>
      <c r="C67" s="227"/>
      <c r="D67" s="81" t="s">
        <v>1</v>
      </c>
      <c r="E67" s="88">
        <v>4500</v>
      </c>
      <c r="F67" s="88">
        <v>4500</v>
      </c>
      <c r="G67" s="88">
        <v>5500</v>
      </c>
      <c r="H67" s="88">
        <v>5500</v>
      </c>
      <c r="I67" s="88">
        <v>2500</v>
      </c>
      <c r="J67" s="88">
        <v>2500</v>
      </c>
      <c r="K67" s="88">
        <v>2500</v>
      </c>
      <c r="L67" s="88">
        <v>5500</v>
      </c>
      <c r="M67" s="88">
        <v>2500</v>
      </c>
      <c r="N67" s="88">
        <v>3500</v>
      </c>
      <c r="O67" s="88">
        <v>5500</v>
      </c>
      <c r="P67" s="88">
        <v>5500</v>
      </c>
      <c r="Q67" s="144">
        <f>SUM(E67:P67)</f>
        <v>50000</v>
      </c>
      <c r="R67" s="304"/>
      <c r="S67" s="109">
        <f>Q67/$Q$230</f>
        <v>3.1247070587132456E-3</v>
      </c>
    </row>
    <row r="68" spans="1:21" ht="15.75" hidden="1" outlineLevel="1" x14ac:dyDescent="0.25">
      <c r="A68" s="220" t="s">
        <v>27</v>
      </c>
      <c r="B68" s="217" t="s">
        <v>12</v>
      </c>
      <c r="C68" s="222" t="s">
        <v>93</v>
      </c>
      <c r="D68" s="77" t="s">
        <v>14</v>
      </c>
      <c r="E68" s="78">
        <v>24388.35</v>
      </c>
      <c r="F68" s="78">
        <v>25832.079999999998</v>
      </c>
      <c r="G68" s="79">
        <v>32879.977200000001</v>
      </c>
      <c r="H68" s="80"/>
      <c r="I68" s="80"/>
      <c r="J68" s="80"/>
      <c r="K68" s="80"/>
      <c r="L68" s="80"/>
      <c r="M68" s="80"/>
      <c r="N68" s="80"/>
      <c r="O68" s="80"/>
      <c r="P68" s="80"/>
      <c r="Q68" s="90">
        <f>+SUM(E68:P68)</f>
        <v>83100.407199999987</v>
      </c>
      <c r="R68" s="303">
        <f>Q68/Q69</f>
        <v>0.21868528210526311</v>
      </c>
      <c r="S68" s="110">
        <v>0</v>
      </c>
    </row>
    <row r="69" spans="1:21" ht="16.5" hidden="1" outlineLevel="1" thickBot="1" x14ac:dyDescent="0.3">
      <c r="A69" s="221"/>
      <c r="B69" s="129"/>
      <c r="C69" s="223"/>
      <c r="D69" s="81" t="s">
        <v>1</v>
      </c>
      <c r="E69" s="88">
        <v>30000</v>
      </c>
      <c r="F69" s="88">
        <v>30000</v>
      </c>
      <c r="G69" s="88">
        <v>30000</v>
      </c>
      <c r="H69" s="88">
        <v>45000</v>
      </c>
      <c r="I69" s="88">
        <v>30000</v>
      </c>
      <c r="J69" s="88">
        <v>30000</v>
      </c>
      <c r="K69" s="88">
        <v>25000</v>
      </c>
      <c r="L69" s="88">
        <v>40000</v>
      </c>
      <c r="M69" s="88">
        <v>30000</v>
      </c>
      <c r="N69" s="88">
        <v>30000</v>
      </c>
      <c r="O69" s="88">
        <v>30000</v>
      </c>
      <c r="P69" s="88">
        <v>30000</v>
      </c>
      <c r="Q69" s="144">
        <f>SUM(E69:P69)</f>
        <v>380000</v>
      </c>
      <c r="R69" s="304"/>
      <c r="S69" s="109">
        <f>Q69/$Q$230</f>
        <v>2.3747773646220667E-2</v>
      </c>
    </row>
    <row r="70" spans="1:21" ht="15.75" hidden="1" outlineLevel="1" x14ac:dyDescent="0.25">
      <c r="A70" s="220" t="s">
        <v>27</v>
      </c>
      <c r="B70" s="217" t="s">
        <v>12</v>
      </c>
      <c r="C70" s="222" t="s">
        <v>30</v>
      </c>
      <c r="D70" s="77" t="s">
        <v>14</v>
      </c>
      <c r="E70" s="78">
        <v>21379.41</v>
      </c>
      <c r="F70" s="78">
        <v>17045.099999999999</v>
      </c>
      <c r="G70" s="79">
        <v>15778.2853</v>
      </c>
      <c r="H70" s="80"/>
      <c r="I70" s="80"/>
      <c r="J70" s="80"/>
      <c r="K70" s="80"/>
      <c r="L70" s="80"/>
      <c r="M70" s="80"/>
      <c r="N70" s="80"/>
      <c r="O70" s="80"/>
      <c r="P70" s="80"/>
      <c r="Q70" s="90">
        <f>+SUM(E70:P70)</f>
        <v>54202.795299999998</v>
      </c>
      <c r="R70" s="303">
        <f>Q70/Q71</f>
        <v>0.18067598433333332</v>
      </c>
      <c r="S70" s="110">
        <v>0</v>
      </c>
    </row>
    <row r="71" spans="1:21" ht="16.5" hidden="1" outlineLevel="1" thickBot="1" x14ac:dyDescent="0.3">
      <c r="A71" s="221"/>
      <c r="B71" s="129"/>
      <c r="C71" s="223"/>
      <c r="D71" s="81" t="s">
        <v>1</v>
      </c>
      <c r="E71" s="102">
        <v>25000</v>
      </c>
      <c r="F71" s="102">
        <v>25000</v>
      </c>
      <c r="G71" s="102">
        <v>25000</v>
      </c>
      <c r="H71" s="102">
        <v>25000</v>
      </c>
      <c r="I71" s="102">
        <v>25000</v>
      </c>
      <c r="J71" s="102">
        <v>25000</v>
      </c>
      <c r="K71" s="102">
        <v>25000</v>
      </c>
      <c r="L71" s="102">
        <v>25000</v>
      </c>
      <c r="M71" s="102">
        <v>25000</v>
      </c>
      <c r="N71" s="102">
        <v>25000</v>
      </c>
      <c r="O71" s="102">
        <v>25000</v>
      </c>
      <c r="P71" s="102">
        <v>25000</v>
      </c>
      <c r="Q71" s="144">
        <f>SUM(E71:P71)</f>
        <v>300000</v>
      </c>
      <c r="R71" s="304"/>
      <c r="S71" s="109">
        <f>Q71/$Q$230</f>
        <v>1.8748242352279475E-2</v>
      </c>
    </row>
    <row r="72" spans="1:21" ht="15.75" hidden="1" outlineLevel="1" x14ac:dyDescent="0.25">
      <c r="A72" s="220" t="s">
        <v>27</v>
      </c>
      <c r="B72" s="217" t="s">
        <v>12</v>
      </c>
      <c r="C72" s="222" t="s">
        <v>110</v>
      </c>
      <c r="D72" s="77" t="s">
        <v>14</v>
      </c>
      <c r="E72" s="78">
        <v>8619.5</v>
      </c>
      <c r="F72" s="78">
        <v>447.3</v>
      </c>
      <c r="G72" s="79">
        <v>6621.5</v>
      </c>
      <c r="H72" s="80"/>
      <c r="I72" s="80"/>
      <c r="J72" s="80"/>
      <c r="K72" s="80"/>
      <c r="L72" s="80"/>
      <c r="M72" s="80"/>
      <c r="N72" s="80"/>
      <c r="O72" s="80"/>
      <c r="P72" s="80"/>
      <c r="Q72" s="90">
        <f>+SUM(E72:P72)</f>
        <v>15688.3</v>
      </c>
      <c r="R72" s="303">
        <f>Q72/Q73</f>
        <v>0.62753199999999998</v>
      </c>
      <c r="S72" s="110">
        <v>0</v>
      </c>
    </row>
    <row r="73" spans="1:21" ht="16.5" hidden="1" outlineLevel="1" thickBot="1" x14ac:dyDescent="0.3">
      <c r="A73" s="221"/>
      <c r="B73" s="129"/>
      <c r="C73" s="223"/>
      <c r="D73" s="81" t="s">
        <v>1</v>
      </c>
      <c r="E73" s="88">
        <v>2000</v>
      </c>
      <c r="F73" s="88">
        <v>2000</v>
      </c>
      <c r="G73" s="88">
        <v>2000</v>
      </c>
      <c r="H73" s="88">
        <v>2000</v>
      </c>
      <c r="I73" s="88">
        <v>2000</v>
      </c>
      <c r="J73" s="88">
        <v>2000</v>
      </c>
      <c r="K73" s="88">
        <v>2000</v>
      </c>
      <c r="L73" s="88">
        <v>2200</v>
      </c>
      <c r="M73" s="88">
        <v>2200</v>
      </c>
      <c r="N73" s="88">
        <v>2200</v>
      </c>
      <c r="O73" s="88">
        <v>2200</v>
      </c>
      <c r="P73" s="88">
        <v>2200</v>
      </c>
      <c r="Q73" s="144">
        <f>SUM(E73:P73)</f>
        <v>25000</v>
      </c>
      <c r="R73" s="304"/>
      <c r="S73" s="109">
        <f>Q73/$Q$230</f>
        <v>1.5623535293566228E-3</v>
      </c>
    </row>
    <row r="74" spans="1:21" ht="15.75" hidden="1" outlineLevel="1" x14ac:dyDescent="0.25">
      <c r="A74" s="220" t="s">
        <v>27</v>
      </c>
      <c r="B74" s="217" t="s">
        <v>12</v>
      </c>
      <c r="C74" s="222" t="s">
        <v>92</v>
      </c>
      <c r="D74" s="77" t="s">
        <v>14</v>
      </c>
      <c r="E74" s="78">
        <v>1058</v>
      </c>
      <c r="F74" s="78">
        <v>270</v>
      </c>
      <c r="G74" s="79">
        <v>1373</v>
      </c>
      <c r="H74" s="80"/>
      <c r="I74" s="80"/>
      <c r="J74" s="80"/>
      <c r="K74" s="80"/>
      <c r="L74" s="80"/>
      <c r="M74" s="80"/>
      <c r="N74" s="80"/>
      <c r="O74" s="80"/>
      <c r="P74" s="80"/>
      <c r="Q74" s="90">
        <f>+SUM(E74:P74)</f>
        <v>2701</v>
      </c>
      <c r="R74" s="303">
        <f>Q74/Q75</f>
        <v>3.6013333333333335E-2</v>
      </c>
      <c r="S74" s="110">
        <v>0</v>
      </c>
    </row>
    <row r="75" spans="1:21" ht="16.5" hidden="1" outlineLevel="1" thickBot="1" x14ac:dyDescent="0.3">
      <c r="A75" s="221"/>
      <c r="B75" s="129"/>
      <c r="C75" s="223"/>
      <c r="D75" s="81" t="s">
        <v>1</v>
      </c>
      <c r="E75" s="88">
        <v>0</v>
      </c>
      <c r="F75" s="88">
        <v>5000</v>
      </c>
      <c r="G75" s="88">
        <v>0</v>
      </c>
      <c r="H75" s="88">
        <v>5000</v>
      </c>
      <c r="I75" s="88">
        <v>0</v>
      </c>
      <c r="J75" s="88">
        <v>0</v>
      </c>
      <c r="K75" s="88">
        <v>0</v>
      </c>
      <c r="L75" s="88">
        <v>5000</v>
      </c>
      <c r="M75" s="88"/>
      <c r="N75" s="88">
        <v>30000</v>
      </c>
      <c r="O75" s="88">
        <v>10000</v>
      </c>
      <c r="P75" s="88">
        <v>20000</v>
      </c>
      <c r="Q75" s="144">
        <f>SUM(E75:P75)</f>
        <v>75000</v>
      </c>
      <c r="R75" s="304"/>
      <c r="S75" s="109">
        <f>Q75/$Q$230</f>
        <v>4.6870605880698687E-3</v>
      </c>
    </row>
    <row r="76" spans="1:21" ht="15.75" hidden="1" outlineLevel="1" x14ac:dyDescent="0.25">
      <c r="A76" s="220" t="s">
        <v>27</v>
      </c>
      <c r="B76" s="217" t="s">
        <v>23</v>
      </c>
      <c r="C76" s="226" t="s">
        <v>98</v>
      </c>
      <c r="D76" s="77" t="s">
        <v>14</v>
      </c>
      <c r="E76" s="78">
        <v>23315.01</v>
      </c>
      <c r="F76" s="78">
        <v>55529.94</v>
      </c>
      <c r="G76" s="79">
        <v>31151.64</v>
      </c>
      <c r="H76" s="80"/>
      <c r="I76" s="80"/>
      <c r="J76" s="80"/>
      <c r="K76" s="80"/>
      <c r="L76" s="80"/>
      <c r="M76" s="80"/>
      <c r="N76" s="80"/>
      <c r="O76" s="80"/>
      <c r="P76" s="80"/>
      <c r="Q76" s="90">
        <f>+SUM(E76:P76)</f>
        <v>109996.59</v>
      </c>
      <c r="R76" s="309">
        <f>Q76/Q78</f>
        <v>0.23157176842105262</v>
      </c>
      <c r="S76" s="110">
        <v>0</v>
      </c>
    </row>
    <row r="77" spans="1:21" ht="15.75" hidden="1" outlineLevel="1" x14ac:dyDescent="0.25">
      <c r="A77" s="221"/>
      <c r="B77" s="129"/>
      <c r="C77" s="227"/>
      <c r="D77" s="84" t="s">
        <v>25</v>
      </c>
      <c r="E77" s="147"/>
      <c r="F77" s="148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91">
        <f>SUM(E77:P77)</f>
        <v>0</v>
      </c>
      <c r="R77" s="310"/>
      <c r="S77" s="109"/>
    </row>
    <row r="78" spans="1:21" ht="16.5" hidden="1" outlineLevel="1" thickBot="1" x14ac:dyDescent="0.3">
      <c r="A78" s="221"/>
      <c r="B78" s="129"/>
      <c r="C78" s="227"/>
      <c r="D78" s="81" t="s">
        <v>1</v>
      </c>
      <c r="E78" s="118">
        <v>40000</v>
      </c>
      <c r="F78" s="118">
        <v>40000</v>
      </c>
      <c r="G78" s="118">
        <v>40000</v>
      </c>
      <c r="H78" s="118">
        <v>40000</v>
      </c>
      <c r="I78" s="118">
        <v>40000</v>
      </c>
      <c r="J78" s="118">
        <v>40000</v>
      </c>
      <c r="K78" s="118">
        <v>40000</v>
      </c>
      <c r="L78" s="118">
        <v>39000</v>
      </c>
      <c r="M78" s="118">
        <v>39000</v>
      </c>
      <c r="N78" s="118">
        <v>39000</v>
      </c>
      <c r="O78" s="118">
        <v>39000</v>
      </c>
      <c r="P78" s="118">
        <v>39000</v>
      </c>
      <c r="Q78" s="119">
        <f>SUM(E78:P78)</f>
        <v>475000</v>
      </c>
      <c r="R78" s="310"/>
      <c r="S78" s="109">
        <f>Q78/$Q$230</f>
        <v>2.9684717057775832E-2</v>
      </c>
      <c r="U78" s="130"/>
    </row>
    <row r="79" spans="1:21" ht="17.25" collapsed="1" thickTop="1" thickBot="1" x14ac:dyDescent="0.25">
      <c r="A79" s="230" t="s">
        <v>27</v>
      </c>
      <c r="B79" s="232" t="s">
        <v>0</v>
      </c>
      <c r="C79" s="230" t="s">
        <v>0</v>
      </c>
      <c r="D79" s="56" t="s">
        <v>14</v>
      </c>
      <c r="E79" s="89">
        <f t="shared" ref="E79:Q79" si="5">SUM(E52,E54,E58,E60,E62,E64,E66,E68,E70,E74,E76+E77+E56+E72)</f>
        <v>102930.67</v>
      </c>
      <c r="F79" s="89">
        <v>132022.06</v>
      </c>
      <c r="G79" s="89">
        <f t="shared" si="5"/>
        <v>107104.25569999999</v>
      </c>
      <c r="H79" s="89">
        <f t="shared" si="5"/>
        <v>0</v>
      </c>
      <c r="I79" s="89">
        <f t="shared" si="5"/>
        <v>0</v>
      </c>
      <c r="J79" s="89">
        <f t="shared" si="5"/>
        <v>0</v>
      </c>
      <c r="K79" s="89">
        <f t="shared" si="5"/>
        <v>0</v>
      </c>
      <c r="L79" s="89">
        <f t="shared" si="5"/>
        <v>0</v>
      </c>
      <c r="M79" s="89">
        <f t="shared" si="5"/>
        <v>0</v>
      </c>
      <c r="N79" s="89">
        <f t="shared" si="5"/>
        <v>0</v>
      </c>
      <c r="O79" s="89">
        <f t="shared" si="5"/>
        <v>0</v>
      </c>
      <c r="P79" s="89">
        <f t="shared" si="5"/>
        <v>0</v>
      </c>
      <c r="Q79" s="89">
        <f t="shared" si="5"/>
        <v>342056.98570000002</v>
      </c>
      <c r="R79" s="308">
        <f>Q79/Q80</f>
        <v>0.19314341372106156</v>
      </c>
      <c r="S79" s="110">
        <v>0</v>
      </c>
      <c r="T79" s="130"/>
    </row>
    <row r="80" spans="1:21" ht="17.25" thickTop="1" thickBot="1" x14ac:dyDescent="0.3">
      <c r="A80" s="231"/>
      <c r="B80" s="233"/>
      <c r="C80" s="231"/>
      <c r="D80" s="64" t="s">
        <v>1</v>
      </c>
      <c r="E80" s="7">
        <f t="shared" ref="E80:Q80" si="6">SUM(E53,E55,E57,E59,E61,E63,E65,E67,E69,E71,E73,E75,E78)</f>
        <v>141000</v>
      </c>
      <c r="F80" s="7">
        <v>146000</v>
      </c>
      <c r="G80" s="7">
        <f t="shared" si="6"/>
        <v>142000</v>
      </c>
      <c r="H80" s="7">
        <f t="shared" si="6"/>
        <v>162500</v>
      </c>
      <c r="I80" s="7">
        <f t="shared" si="6"/>
        <v>140000</v>
      </c>
      <c r="J80" s="7">
        <f t="shared" si="6"/>
        <v>137000</v>
      </c>
      <c r="K80" s="7">
        <f t="shared" si="6"/>
        <v>123000</v>
      </c>
      <c r="L80" s="7">
        <f t="shared" si="6"/>
        <v>153200</v>
      </c>
      <c r="M80" s="7">
        <f t="shared" si="6"/>
        <v>141200</v>
      </c>
      <c r="N80" s="7">
        <f t="shared" si="6"/>
        <v>168700</v>
      </c>
      <c r="O80" s="7">
        <f t="shared" si="6"/>
        <v>151700</v>
      </c>
      <c r="P80" s="7">
        <f t="shared" si="6"/>
        <v>164700</v>
      </c>
      <c r="Q80" s="7">
        <f t="shared" si="6"/>
        <v>1771000</v>
      </c>
      <c r="R80" s="308"/>
      <c r="S80" s="109">
        <f>Q80/$Q$230</f>
        <v>0.11067712401962317</v>
      </c>
    </row>
    <row r="81" spans="1:22" ht="17.25" thickTop="1" thickBot="1" x14ac:dyDescent="0.3">
      <c r="A81" s="231"/>
      <c r="B81" s="233"/>
      <c r="C81" s="231"/>
      <c r="D81" s="57" t="s">
        <v>2</v>
      </c>
      <c r="E81" s="8">
        <f>E79/E80</f>
        <v>0.73000475177304969</v>
      </c>
      <c r="F81" s="8">
        <v>0.9042606849315068</v>
      </c>
      <c r="G81" s="8">
        <f t="shared" ref="G81:P81" si="7">G79/G80</f>
        <v>0.75425532183098587</v>
      </c>
      <c r="H81" s="8">
        <f t="shared" si="7"/>
        <v>0</v>
      </c>
      <c r="I81" s="8">
        <f t="shared" si="7"/>
        <v>0</v>
      </c>
      <c r="J81" s="8">
        <f t="shared" si="7"/>
        <v>0</v>
      </c>
      <c r="K81" s="8">
        <f t="shared" si="7"/>
        <v>0</v>
      </c>
      <c r="L81" s="8">
        <f t="shared" si="7"/>
        <v>0</v>
      </c>
      <c r="M81" s="8">
        <f t="shared" si="7"/>
        <v>0</v>
      </c>
      <c r="N81" s="8">
        <f t="shared" si="7"/>
        <v>0</v>
      </c>
      <c r="O81" s="8">
        <f t="shared" si="7"/>
        <v>0</v>
      </c>
      <c r="P81" s="8">
        <f t="shared" si="7"/>
        <v>0</v>
      </c>
      <c r="Q81" s="46">
        <f>Q79/Q80</f>
        <v>0.19314341372106156</v>
      </c>
      <c r="R81" s="308"/>
      <c r="S81" s="103"/>
    </row>
    <row r="82" spans="1:22" ht="17.25" thickTop="1" thickBot="1" x14ac:dyDescent="0.3">
      <c r="A82" s="231"/>
      <c r="B82" s="233"/>
      <c r="C82" s="231"/>
      <c r="D82" s="65" t="s">
        <v>3</v>
      </c>
      <c r="E82" s="10">
        <f t="shared" ref="E82:P82" si="8">E79-E80</f>
        <v>-38069.33</v>
      </c>
      <c r="F82" s="10">
        <v>-13977.940000000002</v>
      </c>
      <c r="G82" s="10">
        <f t="shared" si="8"/>
        <v>-34895.744300000006</v>
      </c>
      <c r="H82" s="10">
        <f t="shared" si="8"/>
        <v>-162500</v>
      </c>
      <c r="I82" s="10">
        <f t="shared" si="8"/>
        <v>-140000</v>
      </c>
      <c r="J82" s="10">
        <f t="shared" si="8"/>
        <v>-137000</v>
      </c>
      <c r="K82" s="10">
        <f t="shared" si="8"/>
        <v>-123000</v>
      </c>
      <c r="L82" s="10">
        <f t="shared" si="8"/>
        <v>-153200</v>
      </c>
      <c r="M82" s="10">
        <f t="shared" si="8"/>
        <v>-141200</v>
      </c>
      <c r="N82" s="10">
        <f t="shared" si="8"/>
        <v>-168700</v>
      </c>
      <c r="O82" s="10">
        <f t="shared" si="8"/>
        <v>-151700</v>
      </c>
      <c r="P82" s="10">
        <f t="shared" si="8"/>
        <v>-164700</v>
      </c>
      <c r="Q82" s="47">
        <f>Q79-Q80</f>
        <v>-1428943.0142999999</v>
      </c>
      <c r="R82" s="308"/>
      <c r="S82" s="104"/>
    </row>
    <row r="83" spans="1:22" ht="16.5" thickBot="1" x14ac:dyDescent="0.3">
      <c r="A83" s="231"/>
      <c r="B83" s="233"/>
      <c r="C83" s="231"/>
      <c r="D83" s="66" t="s">
        <v>4</v>
      </c>
      <c r="E83" s="9">
        <f t="shared" ref="E83:P83" si="9">E82/E79</f>
        <v>-0.36985409693728799</v>
      </c>
      <c r="F83" s="9">
        <v>-0.10587579075799911</v>
      </c>
      <c r="G83" s="9">
        <f t="shared" si="9"/>
        <v>-0.32581099669599783</v>
      </c>
      <c r="H83" s="9" t="e">
        <f t="shared" si="9"/>
        <v>#DIV/0!</v>
      </c>
      <c r="I83" s="9" t="e">
        <f t="shared" si="9"/>
        <v>#DIV/0!</v>
      </c>
      <c r="J83" s="9" t="e">
        <f t="shared" si="9"/>
        <v>#DIV/0!</v>
      </c>
      <c r="K83" s="9" t="e">
        <f t="shared" si="9"/>
        <v>#DIV/0!</v>
      </c>
      <c r="L83" s="9" t="e">
        <f t="shared" si="9"/>
        <v>#DIV/0!</v>
      </c>
      <c r="M83" s="9" t="e">
        <f t="shared" si="9"/>
        <v>#DIV/0!</v>
      </c>
      <c r="N83" s="9" t="e">
        <f t="shared" si="9"/>
        <v>#DIV/0!</v>
      </c>
      <c r="O83" s="9" t="e">
        <f t="shared" si="9"/>
        <v>#DIV/0!</v>
      </c>
      <c r="P83" s="9" t="e">
        <f t="shared" si="9"/>
        <v>#DIV/0!</v>
      </c>
      <c r="Q83" s="48">
        <f>Q82/Q79</f>
        <v>-4.1774998729400306</v>
      </c>
      <c r="R83" s="18"/>
      <c r="S83" s="105"/>
    </row>
    <row r="84" spans="1:22" ht="15.75" thickBot="1" x14ac:dyDescent="0.25">
      <c r="A84" s="6"/>
      <c r="B84" s="6"/>
      <c r="C84" s="75"/>
      <c r="D84" s="67" t="s">
        <v>26</v>
      </c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40"/>
      <c r="Q84" s="67"/>
      <c r="R84" s="36"/>
      <c r="S84" s="106"/>
    </row>
    <row r="85" spans="1:22" ht="16.5" hidden="1" outlineLevel="1" thickBot="1" x14ac:dyDescent="0.3">
      <c r="A85" s="220" t="s">
        <v>70</v>
      </c>
      <c r="B85" s="217" t="s">
        <v>12</v>
      </c>
      <c r="C85" s="226" t="s">
        <v>54</v>
      </c>
      <c r="D85" s="77" t="s">
        <v>14</v>
      </c>
      <c r="E85" s="78">
        <v>41692.9</v>
      </c>
      <c r="F85" s="78">
        <v>29818.240000000002</v>
      </c>
      <c r="G85" s="79">
        <v>30581</v>
      </c>
      <c r="H85" s="80"/>
      <c r="I85" s="252"/>
      <c r="J85" s="80"/>
      <c r="K85" s="80"/>
      <c r="L85" s="80"/>
      <c r="M85" s="80"/>
      <c r="N85" s="80"/>
      <c r="O85" s="80"/>
      <c r="P85" s="80"/>
      <c r="Q85" s="90">
        <f>+SUM(E85:P85)</f>
        <v>102092.14</v>
      </c>
      <c r="R85" s="303">
        <f>Q85/Q86</f>
        <v>0.29169182857142856</v>
      </c>
      <c r="S85" s="110">
        <v>0</v>
      </c>
      <c r="T85" s="130"/>
      <c r="V85" s="139"/>
    </row>
    <row r="86" spans="1:22" ht="16.5" hidden="1" outlineLevel="1" thickBot="1" x14ac:dyDescent="0.3">
      <c r="A86" s="221"/>
      <c r="B86" s="129"/>
      <c r="C86" s="225"/>
      <c r="D86" s="81" t="s">
        <v>1</v>
      </c>
      <c r="E86" s="88">
        <v>30000</v>
      </c>
      <c r="F86" s="88">
        <v>30000</v>
      </c>
      <c r="G86" s="88">
        <v>30000</v>
      </c>
      <c r="H86" s="88">
        <v>30000</v>
      </c>
      <c r="I86" s="249">
        <v>30000</v>
      </c>
      <c r="J86" s="88">
        <v>25000</v>
      </c>
      <c r="K86" s="88">
        <v>25000</v>
      </c>
      <c r="L86" s="88">
        <v>30000</v>
      </c>
      <c r="M86" s="88">
        <v>30000</v>
      </c>
      <c r="N86" s="88">
        <v>30000</v>
      </c>
      <c r="O86" s="88">
        <v>30000</v>
      </c>
      <c r="P86" s="88">
        <v>30000</v>
      </c>
      <c r="Q86" s="144">
        <f>SUM(E86:P86)</f>
        <v>350000</v>
      </c>
      <c r="R86" s="304"/>
      <c r="S86" s="109">
        <f>Q86/$Q$230</f>
        <v>2.1872949410992718E-2</v>
      </c>
      <c r="T86" s="130"/>
    </row>
    <row r="87" spans="1:22" ht="15.75" hidden="1" outlineLevel="1" x14ac:dyDescent="0.25">
      <c r="A87" s="220" t="s">
        <v>70</v>
      </c>
      <c r="B87" s="217" t="s">
        <v>12</v>
      </c>
      <c r="C87" s="226" t="s">
        <v>120</v>
      </c>
      <c r="D87" s="77" t="s">
        <v>14</v>
      </c>
      <c r="E87" s="78">
        <v>6716.5</v>
      </c>
      <c r="F87" s="78">
        <v>6746.5</v>
      </c>
      <c r="G87" s="79">
        <v>11468.5</v>
      </c>
      <c r="H87" s="80"/>
      <c r="I87" s="130"/>
      <c r="J87" s="80"/>
      <c r="K87" s="80"/>
      <c r="L87" s="80"/>
      <c r="M87" s="80"/>
      <c r="N87" s="80"/>
      <c r="O87" s="80"/>
      <c r="P87" s="80"/>
      <c r="Q87" s="90">
        <f>+SUM(E87:P87)</f>
        <v>24931.5</v>
      </c>
      <c r="R87" s="303">
        <f>Q87/Q88</f>
        <v>0.18198175182481752</v>
      </c>
      <c r="S87" s="110">
        <v>0</v>
      </c>
      <c r="T87" s="130"/>
    </row>
    <row r="88" spans="1:22" ht="16.5" hidden="1" outlineLevel="1" thickBot="1" x14ac:dyDescent="0.3">
      <c r="A88" s="221"/>
      <c r="B88" s="129"/>
      <c r="C88" s="225"/>
      <c r="D88" s="81" t="s">
        <v>1</v>
      </c>
      <c r="E88" s="88">
        <v>15000</v>
      </c>
      <c r="F88" s="88">
        <v>18000</v>
      </c>
      <c r="G88" s="88">
        <v>9500</v>
      </c>
      <c r="H88" s="88">
        <v>15000</v>
      </c>
      <c r="I88" s="88">
        <v>15000</v>
      </c>
      <c r="J88" s="88">
        <v>9500</v>
      </c>
      <c r="K88" s="88">
        <v>2000</v>
      </c>
      <c r="L88" s="88">
        <v>10000</v>
      </c>
      <c r="M88" s="88">
        <v>12000</v>
      </c>
      <c r="N88" s="88">
        <v>10000</v>
      </c>
      <c r="O88" s="88">
        <v>11000</v>
      </c>
      <c r="P88" s="88">
        <v>10000</v>
      </c>
      <c r="Q88" s="144">
        <f>SUM(E88:P88)</f>
        <v>137000</v>
      </c>
      <c r="R88" s="304"/>
      <c r="S88" s="109">
        <f>Q88/$Q$230</f>
        <v>8.5616973408742924E-3</v>
      </c>
      <c r="T88" s="130"/>
    </row>
    <row r="89" spans="1:22" ht="15.75" hidden="1" outlineLevel="1" collapsed="1" x14ac:dyDescent="0.25">
      <c r="A89" s="220" t="s">
        <v>70</v>
      </c>
      <c r="B89" s="217" t="s">
        <v>12</v>
      </c>
      <c r="C89" s="226" t="s">
        <v>51</v>
      </c>
      <c r="D89" s="77" t="s">
        <v>14</v>
      </c>
      <c r="E89" s="78">
        <v>3357.5</v>
      </c>
      <c r="F89" s="78">
        <v>5467.25</v>
      </c>
      <c r="G89" s="79">
        <v>3234</v>
      </c>
      <c r="H89" s="80"/>
      <c r="I89" s="80"/>
      <c r="J89" s="80"/>
      <c r="K89" s="80"/>
      <c r="L89" s="80"/>
      <c r="M89" s="80"/>
      <c r="N89" s="80"/>
      <c r="O89" s="80"/>
      <c r="P89" s="80"/>
      <c r="Q89" s="90">
        <f>+SUM(E89:P89)</f>
        <v>12058.75</v>
      </c>
      <c r="R89" s="303">
        <f>Q89/Q90</f>
        <v>9.2759615384615385E-2</v>
      </c>
      <c r="S89" s="110">
        <v>0</v>
      </c>
    </row>
    <row r="90" spans="1:22" ht="16.5" hidden="1" outlineLevel="1" thickBot="1" x14ac:dyDescent="0.3">
      <c r="A90" s="221"/>
      <c r="B90" s="129"/>
      <c r="C90" s="225"/>
      <c r="D90" s="81" t="s">
        <v>1</v>
      </c>
      <c r="E90" s="88">
        <v>10000</v>
      </c>
      <c r="F90" s="88">
        <v>15000</v>
      </c>
      <c r="G90" s="88">
        <v>10000</v>
      </c>
      <c r="H90" s="88">
        <v>10000</v>
      </c>
      <c r="I90" s="88">
        <v>15000</v>
      </c>
      <c r="J90" s="88">
        <v>10000</v>
      </c>
      <c r="K90" s="88">
        <v>5000</v>
      </c>
      <c r="L90" s="88">
        <v>10000</v>
      </c>
      <c r="M90" s="88">
        <v>15000</v>
      </c>
      <c r="N90" s="88">
        <v>10000</v>
      </c>
      <c r="O90" s="88">
        <v>10000</v>
      </c>
      <c r="P90" s="88">
        <v>10000</v>
      </c>
      <c r="Q90" s="144">
        <f>SUM(E90:P90)</f>
        <v>130000</v>
      </c>
      <c r="R90" s="304"/>
      <c r="S90" s="109">
        <f>Q90/$Q$230</f>
        <v>8.1242383526544393E-3</v>
      </c>
    </row>
    <row r="91" spans="1:22" ht="15.75" hidden="1" outlineLevel="2" x14ac:dyDescent="0.25">
      <c r="A91" s="220" t="s">
        <v>70</v>
      </c>
      <c r="B91" s="217" t="s">
        <v>12</v>
      </c>
      <c r="C91" s="226" t="s">
        <v>55</v>
      </c>
      <c r="D91" s="77" t="s">
        <v>14</v>
      </c>
      <c r="E91" s="78">
        <v>156981.5</v>
      </c>
      <c r="F91" s="78">
        <v>52568.5</v>
      </c>
      <c r="G91" s="79">
        <v>30356</v>
      </c>
      <c r="H91" s="80"/>
      <c r="I91" s="80"/>
      <c r="J91" s="80"/>
      <c r="K91" s="80"/>
      <c r="L91" s="80"/>
      <c r="M91" s="80"/>
      <c r="N91" s="80"/>
      <c r="O91" s="80"/>
      <c r="P91" s="80"/>
      <c r="Q91" s="90">
        <f>+SUM(E91:P91)</f>
        <v>239906</v>
      </c>
      <c r="R91" s="303">
        <f>Q91/Q92</f>
        <v>0.43619272727272729</v>
      </c>
      <c r="S91" s="110">
        <v>0</v>
      </c>
      <c r="T91" s="130"/>
    </row>
    <row r="92" spans="1:22" ht="16.5" hidden="1" outlineLevel="2" thickBot="1" x14ac:dyDescent="0.3">
      <c r="A92" s="221"/>
      <c r="B92" s="129"/>
      <c r="C92" s="225"/>
      <c r="D92" s="81" t="s">
        <v>1</v>
      </c>
      <c r="E92" s="88">
        <v>45000</v>
      </c>
      <c r="F92" s="88">
        <v>50000</v>
      </c>
      <c r="G92" s="88">
        <v>50000</v>
      </c>
      <c r="H92" s="88">
        <v>50000</v>
      </c>
      <c r="I92" s="88">
        <v>45000</v>
      </c>
      <c r="J92" s="88">
        <v>45000</v>
      </c>
      <c r="K92" s="88">
        <v>35000</v>
      </c>
      <c r="L92" s="88">
        <v>35000</v>
      </c>
      <c r="M92" s="88">
        <v>45000</v>
      </c>
      <c r="N92" s="88">
        <v>50000</v>
      </c>
      <c r="O92" s="88">
        <v>50000</v>
      </c>
      <c r="P92" s="88">
        <v>50000</v>
      </c>
      <c r="Q92" s="144">
        <f>SUM(E92:P92)</f>
        <v>550000</v>
      </c>
      <c r="R92" s="304"/>
      <c r="S92" s="109">
        <f>Q92/$Q$230</f>
        <v>3.4371777645845702E-2</v>
      </c>
      <c r="T92" s="130"/>
    </row>
    <row r="93" spans="1:22" ht="15.75" hidden="1" outlineLevel="2" x14ac:dyDescent="0.25">
      <c r="A93" s="220" t="s">
        <v>70</v>
      </c>
      <c r="B93" s="217" t="s">
        <v>12</v>
      </c>
      <c r="C93" s="226" t="s">
        <v>35</v>
      </c>
      <c r="D93" s="141" t="s">
        <v>14</v>
      </c>
      <c r="E93" s="79">
        <v>7076.05</v>
      </c>
      <c r="F93" s="78">
        <v>10173.299999999999</v>
      </c>
      <c r="G93" s="79">
        <v>15452.595499999999</v>
      </c>
      <c r="H93" s="79"/>
      <c r="I93" s="79"/>
      <c r="J93" s="79"/>
      <c r="K93" s="79"/>
      <c r="L93" s="80"/>
      <c r="M93" s="80"/>
      <c r="N93" s="80"/>
      <c r="O93" s="80"/>
      <c r="P93" s="80"/>
      <c r="Q93" s="90">
        <f>+SUM(E93:P93)</f>
        <v>32701.945499999998</v>
      </c>
      <c r="R93" s="303">
        <f>Q93/Q94</f>
        <v>0.25155342692307692</v>
      </c>
      <c r="S93" s="110">
        <v>0</v>
      </c>
      <c r="T93" s="130"/>
    </row>
    <row r="94" spans="1:22" ht="16.5" hidden="1" outlineLevel="2" thickBot="1" x14ac:dyDescent="0.3">
      <c r="A94" s="221"/>
      <c r="B94" s="129"/>
      <c r="C94" s="225"/>
      <c r="D94" s="140" t="s">
        <v>1</v>
      </c>
      <c r="E94" s="88">
        <v>15000</v>
      </c>
      <c r="F94" s="88">
        <v>10000</v>
      </c>
      <c r="G94" s="88">
        <v>15000</v>
      </c>
      <c r="H94" s="88">
        <v>10000</v>
      </c>
      <c r="I94" s="88">
        <v>10000</v>
      </c>
      <c r="J94" s="88">
        <v>10000</v>
      </c>
      <c r="K94" s="88">
        <v>10000</v>
      </c>
      <c r="L94" s="88">
        <v>10000</v>
      </c>
      <c r="M94" s="88">
        <v>10000</v>
      </c>
      <c r="N94" s="88">
        <v>10000</v>
      </c>
      <c r="O94" s="88">
        <v>10000</v>
      </c>
      <c r="P94" s="88">
        <v>10000</v>
      </c>
      <c r="Q94" s="144">
        <f>SUM(E94:P94)</f>
        <v>130000</v>
      </c>
      <c r="R94" s="304"/>
      <c r="S94" s="109">
        <f>Q94/$Q$230</f>
        <v>8.1242383526544393E-3</v>
      </c>
      <c r="T94" s="130"/>
    </row>
    <row r="95" spans="1:22" ht="15.75" hidden="1" outlineLevel="2" x14ac:dyDescent="0.25">
      <c r="A95" s="220" t="s">
        <v>70</v>
      </c>
      <c r="B95" s="217" t="s">
        <v>12</v>
      </c>
      <c r="C95" s="226" t="s">
        <v>31</v>
      </c>
      <c r="D95" s="77" t="s">
        <v>14</v>
      </c>
      <c r="E95" s="78">
        <v>12043.1</v>
      </c>
      <c r="F95" s="78">
        <v>5213</v>
      </c>
      <c r="G95" s="79">
        <v>3717.3</v>
      </c>
      <c r="H95" s="78"/>
      <c r="I95" s="78"/>
      <c r="J95" s="78"/>
      <c r="K95" s="78"/>
      <c r="L95" s="120"/>
      <c r="M95" s="120"/>
      <c r="N95" s="120"/>
      <c r="O95" s="120"/>
      <c r="P95" s="120"/>
      <c r="Q95" s="90">
        <f>+SUM(E95:P95)</f>
        <v>20973.399999999998</v>
      </c>
      <c r="R95" s="303">
        <f>Q95/Q96</f>
        <v>0.18397719298245613</v>
      </c>
      <c r="S95" s="110">
        <v>0</v>
      </c>
      <c r="T95" s="130"/>
    </row>
    <row r="96" spans="1:22" ht="16.5" hidden="1" outlineLevel="2" thickBot="1" x14ac:dyDescent="0.3">
      <c r="A96" s="221"/>
      <c r="B96" s="129"/>
      <c r="C96" s="225"/>
      <c r="D96" s="81" t="s">
        <v>1</v>
      </c>
      <c r="E96" s="88">
        <v>15000</v>
      </c>
      <c r="F96" s="88">
        <v>10000</v>
      </c>
      <c r="G96" s="88">
        <v>11000</v>
      </c>
      <c r="H96" s="88">
        <v>13000</v>
      </c>
      <c r="I96" s="88">
        <v>6000</v>
      </c>
      <c r="J96" s="88">
        <v>15000</v>
      </c>
      <c r="K96" s="88">
        <v>7000</v>
      </c>
      <c r="L96" s="88">
        <v>14000</v>
      </c>
      <c r="M96" s="88">
        <v>8000</v>
      </c>
      <c r="N96" s="88">
        <v>5000</v>
      </c>
      <c r="O96" s="88">
        <v>5000</v>
      </c>
      <c r="P96" s="88">
        <v>5000</v>
      </c>
      <c r="Q96" s="144">
        <f>SUM(E96:P96)</f>
        <v>114000</v>
      </c>
      <c r="R96" s="304"/>
      <c r="S96" s="109">
        <f>Q96/$Q$230</f>
        <v>7.1243320938662001E-3</v>
      </c>
      <c r="T96" s="130"/>
    </row>
    <row r="97" spans="1:22" ht="15.75" hidden="1" outlineLevel="2" x14ac:dyDescent="0.25">
      <c r="A97" s="220" t="s">
        <v>70</v>
      </c>
      <c r="B97" s="217" t="s">
        <v>12</v>
      </c>
      <c r="C97" s="226" t="s">
        <v>121</v>
      </c>
      <c r="D97" s="77" t="s">
        <v>14</v>
      </c>
      <c r="E97" s="78">
        <v>709.2</v>
      </c>
      <c r="F97" s="78">
        <v>300</v>
      </c>
      <c r="G97" s="79">
        <v>446.5</v>
      </c>
      <c r="H97" s="80"/>
      <c r="I97" s="80"/>
      <c r="J97" s="80"/>
      <c r="K97" s="80"/>
      <c r="L97" s="80"/>
      <c r="M97" s="80"/>
      <c r="N97" s="80"/>
      <c r="O97" s="80"/>
      <c r="P97" s="80"/>
      <c r="Q97" s="90">
        <f>+SUM(E97:P97)</f>
        <v>1455.7</v>
      </c>
      <c r="R97" s="303">
        <f>Q97/Q98</f>
        <v>2.9114000000000001E-2</v>
      </c>
      <c r="S97" s="110">
        <v>0</v>
      </c>
      <c r="T97" s="130"/>
    </row>
    <row r="98" spans="1:22" ht="16.5" hidden="1" outlineLevel="2" thickBot="1" x14ac:dyDescent="0.3">
      <c r="A98" s="221"/>
      <c r="B98" s="129"/>
      <c r="C98" s="225"/>
      <c r="D98" s="81" t="s">
        <v>1</v>
      </c>
      <c r="E98" s="88">
        <v>4165</v>
      </c>
      <c r="F98" s="88">
        <v>4167</v>
      </c>
      <c r="G98" s="88">
        <v>4167</v>
      </c>
      <c r="H98" s="88">
        <v>4167</v>
      </c>
      <c r="I98" s="88">
        <v>4167</v>
      </c>
      <c r="J98" s="88">
        <v>4167</v>
      </c>
      <c r="K98" s="88">
        <v>4167</v>
      </c>
      <c r="L98" s="88">
        <v>4167</v>
      </c>
      <c r="M98" s="88">
        <v>4167</v>
      </c>
      <c r="N98" s="88">
        <v>4167</v>
      </c>
      <c r="O98" s="88">
        <v>4167</v>
      </c>
      <c r="P98" s="88">
        <v>4165</v>
      </c>
      <c r="Q98" s="144">
        <f>SUM(E98:P98)</f>
        <v>50000</v>
      </c>
      <c r="R98" s="304"/>
      <c r="S98" s="109">
        <f>Q98/$Q$230</f>
        <v>3.1247070587132456E-3</v>
      </c>
      <c r="T98" s="130"/>
    </row>
    <row r="99" spans="1:22" ht="15.75" hidden="1" outlineLevel="2" x14ac:dyDescent="0.25">
      <c r="A99" s="220" t="s">
        <v>70</v>
      </c>
      <c r="B99" s="217" t="s">
        <v>12</v>
      </c>
      <c r="C99" s="226" t="s">
        <v>122</v>
      </c>
      <c r="D99" s="77" t="s">
        <v>14</v>
      </c>
      <c r="E99" s="78">
        <v>3537.95</v>
      </c>
      <c r="F99" s="78">
        <v>2530.5500000000002</v>
      </c>
      <c r="G99" s="79">
        <v>3229</v>
      </c>
      <c r="H99" s="80"/>
      <c r="I99" s="80"/>
      <c r="J99" s="80"/>
      <c r="K99" s="80"/>
      <c r="L99" s="80"/>
      <c r="M99" s="80"/>
      <c r="N99" s="80"/>
      <c r="O99" s="80"/>
      <c r="P99" s="80"/>
      <c r="Q99" s="90">
        <f>+SUM(E99:P99)</f>
        <v>9297.5</v>
      </c>
      <c r="R99" s="303">
        <f>Q99/Q100</f>
        <v>0.23243749999999999</v>
      </c>
      <c r="S99" s="110">
        <v>0</v>
      </c>
      <c r="T99" s="130"/>
    </row>
    <row r="100" spans="1:22" ht="16.5" hidden="1" outlineLevel="2" thickBot="1" x14ac:dyDescent="0.3">
      <c r="A100" s="221"/>
      <c r="B100" s="129"/>
      <c r="C100" s="225"/>
      <c r="D100" s="81" t="s">
        <v>1</v>
      </c>
      <c r="E100" s="88">
        <v>3500</v>
      </c>
      <c r="F100" s="88">
        <v>3500</v>
      </c>
      <c r="G100" s="88">
        <v>3500</v>
      </c>
      <c r="H100" s="88">
        <v>2500</v>
      </c>
      <c r="I100" s="88">
        <v>3500</v>
      </c>
      <c r="J100" s="88">
        <v>3500</v>
      </c>
      <c r="K100" s="88">
        <v>3500</v>
      </c>
      <c r="L100" s="88">
        <v>3500</v>
      </c>
      <c r="M100" s="88">
        <v>2500</v>
      </c>
      <c r="N100" s="88">
        <v>3500</v>
      </c>
      <c r="O100" s="88">
        <v>3500</v>
      </c>
      <c r="P100" s="88">
        <v>3500</v>
      </c>
      <c r="Q100" s="144">
        <f>SUM(E100:P100)</f>
        <v>40000</v>
      </c>
      <c r="R100" s="304"/>
      <c r="S100" s="109">
        <f>Q100/$Q$230</f>
        <v>2.4997656469705966E-3</v>
      </c>
      <c r="T100" s="130"/>
    </row>
    <row r="101" spans="1:22" ht="15.75" hidden="1" outlineLevel="2" x14ac:dyDescent="0.25">
      <c r="A101" s="220" t="s">
        <v>70</v>
      </c>
      <c r="B101" s="217" t="s">
        <v>12</v>
      </c>
      <c r="C101" s="226" t="s">
        <v>33</v>
      </c>
      <c r="D101" s="141" t="s">
        <v>14</v>
      </c>
      <c r="E101" s="79">
        <v>6408</v>
      </c>
      <c r="F101" s="78">
        <v>2517.9</v>
      </c>
      <c r="G101" s="79">
        <v>3744.1</v>
      </c>
      <c r="H101" s="79"/>
      <c r="I101" s="131"/>
      <c r="J101" s="79"/>
      <c r="K101" s="79"/>
      <c r="L101" s="80"/>
      <c r="M101" s="80"/>
      <c r="N101" s="80"/>
      <c r="O101" s="80"/>
      <c r="P101" s="80"/>
      <c r="Q101" s="90">
        <f>+SUM(E101:P101)</f>
        <v>12670</v>
      </c>
      <c r="R101" s="303">
        <f>Q101/Q102</f>
        <v>0.25340000000000001</v>
      </c>
      <c r="S101" s="110">
        <v>0</v>
      </c>
      <c r="T101" s="130"/>
    </row>
    <row r="102" spans="1:22" ht="16.5" hidden="1" outlineLevel="2" thickBot="1" x14ac:dyDescent="0.3">
      <c r="A102" s="221"/>
      <c r="B102" s="129"/>
      <c r="C102" s="225"/>
      <c r="D102" s="140" t="s">
        <v>1</v>
      </c>
      <c r="E102" s="88">
        <v>5000</v>
      </c>
      <c r="F102" s="88">
        <v>2500</v>
      </c>
      <c r="G102" s="88">
        <v>2500</v>
      </c>
      <c r="H102" s="88">
        <v>2500</v>
      </c>
      <c r="I102" s="88">
        <v>2000</v>
      </c>
      <c r="J102" s="88">
        <v>2500</v>
      </c>
      <c r="K102" s="88">
        <v>2000</v>
      </c>
      <c r="L102" s="88">
        <v>2000</v>
      </c>
      <c r="M102" s="88">
        <v>2000</v>
      </c>
      <c r="N102" s="88">
        <v>2000</v>
      </c>
      <c r="O102" s="88">
        <v>10000</v>
      </c>
      <c r="P102" s="88">
        <v>15000</v>
      </c>
      <c r="Q102" s="144">
        <f>SUM(E102:P102)</f>
        <v>50000</v>
      </c>
      <c r="R102" s="304"/>
      <c r="S102" s="109">
        <f>Q102/$Q$230</f>
        <v>3.1247070587132456E-3</v>
      </c>
      <c r="T102" s="130"/>
    </row>
    <row r="103" spans="1:22" ht="15.75" hidden="1" outlineLevel="2" x14ac:dyDescent="0.25">
      <c r="A103" s="220" t="s">
        <v>70</v>
      </c>
      <c r="B103" s="217" t="s">
        <v>12</v>
      </c>
      <c r="C103" s="226" t="s">
        <v>123</v>
      </c>
      <c r="D103" s="141" t="s">
        <v>14</v>
      </c>
      <c r="E103" s="132">
        <v>806.09</v>
      </c>
      <c r="F103" s="78">
        <v>1631.4</v>
      </c>
      <c r="G103" s="79"/>
      <c r="H103" s="132"/>
      <c r="I103" s="132"/>
      <c r="J103" s="132"/>
      <c r="K103" s="132"/>
      <c r="L103" s="133"/>
      <c r="M103" s="133"/>
      <c r="N103" s="133"/>
      <c r="O103" s="133"/>
      <c r="P103" s="80"/>
      <c r="Q103" s="90">
        <f>+SUM(E103:P103)</f>
        <v>2437.4900000000002</v>
      </c>
      <c r="R103" s="303">
        <f>Q103/Q104</f>
        <v>6.0937250000000005E-2</v>
      </c>
      <c r="S103" s="110">
        <v>0</v>
      </c>
      <c r="T103" s="130"/>
    </row>
    <row r="104" spans="1:22" ht="16.5" hidden="1" outlineLevel="2" thickBot="1" x14ac:dyDescent="0.3">
      <c r="A104" s="221"/>
      <c r="B104" s="129"/>
      <c r="C104" s="225"/>
      <c r="D104" s="140" t="s">
        <v>1</v>
      </c>
      <c r="E104" s="88">
        <v>3000</v>
      </c>
      <c r="F104" s="88">
        <v>3000</v>
      </c>
      <c r="G104" s="88">
        <v>3000</v>
      </c>
      <c r="H104" s="88">
        <v>3500</v>
      </c>
      <c r="I104" s="88">
        <v>3500</v>
      </c>
      <c r="J104" s="88">
        <v>2500</v>
      </c>
      <c r="K104" s="88">
        <v>3500</v>
      </c>
      <c r="L104" s="88">
        <v>3500</v>
      </c>
      <c r="M104" s="88">
        <v>2500</v>
      </c>
      <c r="N104" s="88">
        <v>3000</v>
      </c>
      <c r="O104" s="88">
        <v>3000</v>
      </c>
      <c r="P104" s="88">
        <v>6000</v>
      </c>
      <c r="Q104" s="144">
        <f>SUM(E104:P104)</f>
        <v>40000</v>
      </c>
      <c r="R104" s="304"/>
      <c r="S104" s="109">
        <f>Q104/$Q$230</f>
        <v>2.4997656469705966E-3</v>
      </c>
      <c r="T104" s="130"/>
    </row>
    <row r="105" spans="1:22" ht="15.75" hidden="1" outlineLevel="2" x14ac:dyDescent="0.25">
      <c r="A105" s="220" t="s">
        <v>70</v>
      </c>
      <c r="B105" s="217" t="s">
        <v>12</v>
      </c>
      <c r="C105" s="226" t="s">
        <v>34</v>
      </c>
      <c r="D105" s="141" t="s">
        <v>14</v>
      </c>
      <c r="E105" s="78">
        <v>1209</v>
      </c>
      <c r="F105" s="78">
        <v>3497.5</v>
      </c>
      <c r="G105" s="79">
        <v>4581</v>
      </c>
      <c r="H105" s="80"/>
      <c r="I105" s="80"/>
      <c r="J105" s="80"/>
      <c r="K105" s="80"/>
      <c r="L105" s="80"/>
      <c r="M105" s="80"/>
      <c r="N105" s="80"/>
      <c r="O105" s="80"/>
      <c r="P105" s="80"/>
      <c r="Q105" s="90">
        <f>+SUM(E105:P105)</f>
        <v>9287.5</v>
      </c>
      <c r="R105" s="303">
        <f>Q105/Q106</f>
        <v>0.46437499999999998</v>
      </c>
      <c r="S105" s="110">
        <v>0</v>
      </c>
      <c r="T105" s="130"/>
    </row>
    <row r="106" spans="1:22" ht="16.5" hidden="1" outlineLevel="2" thickBot="1" x14ac:dyDescent="0.3">
      <c r="A106" s="221"/>
      <c r="B106" s="129"/>
      <c r="C106" s="225"/>
      <c r="D106" s="140" t="s">
        <v>1</v>
      </c>
      <c r="E106" s="88">
        <v>1500</v>
      </c>
      <c r="F106" s="88">
        <v>1500</v>
      </c>
      <c r="G106" s="88">
        <v>2500</v>
      </c>
      <c r="H106" s="88">
        <v>1500</v>
      </c>
      <c r="I106" s="88">
        <v>1500</v>
      </c>
      <c r="J106" s="88">
        <v>1500</v>
      </c>
      <c r="K106" s="88">
        <v>1500</v>
      </c>
      <c r="L106" s="88">
        <v>1500</v>
      </c>
      <c r="M106" s="88">
        <v>1500</v>
      </c>
      <c r="N106" s="88">
        <v>1500</v>
      </c>
      <c r="O106" s="88">
        <v>2000</v>
      </c>
      <c r="P106" s="88">
        <v>2000</v>
      </c>
      <c r="Q106" s="144">
        <f>SUM(E106:P106)</f>
        <v>20000</v>
      </c>
      <c r="R106" s="304"/>
      <c r="S106" s="109">
        <f>Q106/$Q$230</f>
        <v>1.2498828234852983E-3</v>
      </c>
      <c r="T106" s="130"/>
    </row>
    <row r="107" spans="1:22" ht="15.75" hidden="1" outlineLevel="2" x14ac:dyDescent="0.25">
      <c r="A107" s="220" t="s">
        <v>70</v>
      </c>
      <c r="B107" s="217" t="s">
        <v>12</v>
      </c>
      <c r="C107" s="226" t="s">
        <v>124</v>
      </c>
      <c r="D107" s="141" t="s">
        <v>14</v>
      </c>
      <c r="E107" s="78">
        <v>2217</v>
      </c>
      <c r="F107" s="257">
        <v>704.5</v>
      </c>
      <c r="G107" s="79">
        <v>151</v>
      </c>
      <c r="H107" s="80"/>
      <c r="I107" s="80"/>
      <c r="J107" s="80"/>
      <c r="K107" s="80"/>
      <c r="L107" s="80"/>
      <c r="M107" s="80"/>
      <c r="N107" s="80"/>
      <c r="O107" s="80"/>
      <c r="P107" s="80"/>
      <c r="Q107" s="90">
        <f>+SUM(E107:P107)</f>
        <v>3072.5</v>
      </c>
      <c r="R107" s="303">
        <f>Q107/Q108</f>
        <v>0.21189655172413793</v>
      </c>
      <c r="S107" s="110">
        <v>0</v>
      </c>
      <c r="T107" s="130"/>
    </row>
    <row r="108" spans="1:22" ht="16.5" hidden="1" outlineLevel="2" thickBot="1" x14ac:dyDescent="0.3">
      <c r="A108" s="221"/>
      <c r="B108" s="129"/>
      <c r="C108" s="225"/>
      <c r="D108" s="140" t="s">
        <v>1</v>
      </c>
      <c r="E108" s="88">
        <v>1000</v>
      </c>
      <c r="F108" s="88">
        <v>1000</v>
      </c>
      <c r="G108" s="88">
        <v>1000</v>
      </c>
      <c r="H108" s="88">
        <v>1500</v>
      </c>
      <c r="I108" s="88">
        <v>2000</v>
      </c>
      <c r="J108" s="88">
        <v>1500</v>
      </c>
      <c r="K108" s="88">
        <v>1000</v>
      </c>
      <c r="L108" s="88">
        <v>1000</v>
      </c>
      <c r="M108" s="88">
        <v>1500</v>
      </c>
      <c r="N108" s="88">
        <v>1000</v>
      </c>
      <c r="O108" s="88">
        <v>1000</v>
      </c>
      <c r="P108" s="88">
        <v>1000</v>
      </c>
      <c r="Q108" s="144">
        <f>SUM(E108:P108)</f>
        <v>14500</v>
      </c>
      <c r="R108" s="304"/>
      <c r="S108" s="109">
        <f>Q108/$Q$230</f>
        <v>9.061650470268412E-4</v>
      </c>
      <c r="T108" s="130"/>
    </row>
    <row r="109" spans="1:22" ht="16.5" hidden="1" outlineLevel="2" thickBot="1" x14ac:dyDescent="0.3">
      <c r="A109" s="220" t="s">
        <v>70</v>
      </c>
      <c r="B109" s="217" t="s">
        <v>12</v>
      </c>
      <c r="C109" s="218" t="s">
        <v>97</v>
      </c>
      <c r="D109" s="141" t="s">
        <v>14</v>
      </c>
      <c r="E109" s="78">
        <v>9798.08</v>
      </c>
      <c r="F109" s="78">
        <v>13696.5</v>
      </c>
      <c r="G109" s="79">
        <v>8998</v>
      </c>
      <c r="H109" s="78"/>
      <c r="I109" s="78"/>
      <c r="J109" s="78"/>
      <c r="K109" s="78"/>
      <c r="L109" s="78"/>
      <c r="M109" s="78"/>
      <c r="N109" s="248"/>
      <c r="O109" s="78"/>
      <c r="P109" s="78"/>
      <c r="Q109" s="90">
        <f>+SUM(E109:P109)</f>
        <v>32492.58</v>
      </c>
      <c r="R109" s="303">
        <f>Q109/Q110</f>
        <v>8.0228592592592601E-2</v>
      </c>
      <c r="S109" s="110">
        <v>0</v>
      </c>
      <c r="T109" s="130"/>
      <c r="V109" s="139"/>
    </row>
    <row r="110" spans="1:22" ht="16.5" hidden="1" outlineLevel="2" thickBot="1" x14ac:dyDescent="0.3">
      <c r="A110" s="221"/>
      <c r="B110" s="129"/>
      <c r="C110" s="129"/>
      <c r="D110" s="140" t="s">
        <v>1</v>
      </c>
      <c r="E110" s="101">
        <v>35000</v>
      </c>
      <c r="F110" s="101">
        <v>35000</v>
      </c>
      <c r="G110" s="101">
        <v>35000</v>
      </c>
      <c r="H110" s="101">
        <v>35000</v>
      </c>
      <c r="I110" s="101">
        <v>35000</v>
      </c>
      <c r="J110" s="101">
        <v>35000</v>
      </c>
      <c r="K110" s="101">
        <v>25000</v>
      </c>
      <c r="L110" s="101">
        <v>35000</v>
      </c>
      <c r="M110" s="101">
        <v>30000</v>
      </c>
      <c r="N110" s="251">
        <v>35000</v>
      </c>
      <c r="O110" s="101">
        <v>35000</v>
      </c>
      <c r="P110" s="101">
        <v>35000</v>
      </c>
      <c r="Q110" s="144">
        <f>SUM(E110:P110)</f>
        <v>405000</v>
      </c>
      <c r="R110" s="304"/>
      <c r="S110" s="109">
        <f>Q110/$Q$230</f>
        <v>2.5310127175577291E-2</v>
      </c>
      <c r="T110" s="130"/>
    </row>
    <row r="111" spans="1:22" ht="17.25" collapsed="1" thickTop="1" thickBot="1" x14ac:dyDescent="0.25">
      <c r="A111" s="230" t="s">
        <v>70</v>
      </c>
      <c r="B111" s="232" t="s">
        <v>0</v>
      </c>
      <c r="C111" s="230" t="s">
        <v>0</v>
      </c>
      <c r="D111" s="56" t="s">
        <v>14</v>
      </c>
      <c r="E111" s="89">
        <f t="shared" ref="E111:Q111" si="10">SUM(E109,E107,E105,E103,E101,E99,E97,E95,E93,E91,E89,E87,E85)</f>
        <v>252552.87</v>
      </c>
      <c r="F111" s="89">
        <v>134865.13999999998</v>
      </c>
      <c r="G111" s="89">
        <f t="shared" si="10"/>
        <v>115958.99549999999</v>
      </c>
      <c r="H111" s="89">
        <f t="shared" si="10"/>
        <v>0</v>
      </c>
      <c r="I111" s="89">
        <f t="shared" si="10"/>
        <v>0</v>
      </c>
      <c r="J111" s="89">
        <f t="shared" si="10"/>
        <v>0</v>
      </c>
      <c r="K111" s="89">
        <f t="shared" si="10"/>
        <v>0</v>
      </c>
      <c r="L111" s="89">
        <f t="shared" si="10"/>
        <v>0</v>
      </c>
      <c r="M111" s="89">
        <f t="shared" si="10"/>
        <v>0</v>
      </c>
      <c r="N111" s="89">
        <f t="shared" si="10"/>
        <v>0</v>
      </c>
      <c r="O111" s="89">
        <f t="shared" si="10"/>
        <v>0</v>
      </c>
      <c r="P111" s="89">
        <f t="shared" si="10"/>
        <v>0</v>
      </c>
      <c r="Q111" s="89">
        <f t="shared" si="10"/>
        <v>503377.00550000003</v>
      </c>
      <c r="R111" s="308">
        <f>Q111/Q112</f>
        <v>0.24790790716572275</v>
      </c>
      <c r="S111" s="110">
        <v>0</v>
      </c>
      <c r="T111" s="130"/>
    </row>
    <row r="112" spans="1:22" ht="17.25" thickTop="1" thickBot="1" x14ac:dyDescent="0.3">
      <c r="A112" s="231"/>
      <c r="B112" s="233"/>
      <c r="C112" s="231"/>
      <c r="D112" s="64" t="s">
        <v>1</v>
      </c>
      <c r="E112" s="7">
        <f t="shared" ref="E112:Q112" si="11">SUM(E86,E88,E90,E92,E94,E96,E98,E100,E102,E104,E106,E108,E110)</f>
        <v>183165</v>
      </c>
      <c r="F112" s="7">
        <v>183667</v>
      </c>
      <c r="G112" s="7">
        <f t="shared" si="11"/>
        <v>177167</v>
      </c>
      <c r="H112" s="7">
        <f t="shared" si="11"/>
        <v>178667</v>
      </c>
      <c r="I112" s="7">
        <f t="shared" si="11"/>
        <v>172667</v>
      </c>
      <c r="J112" s="7">
        <f t="shared" si="11"/>
        <v>165167</v>
      </c>
      <c r="K112" s="7">
        <f t="shared" si="11"/>
        <v>124667</v>
      </c>
      <c r="L112" s="7">
        <f t="shared" si="11"/>
        <v>159667</v>
      </c>
      <c r="M112" s="7">
        <f t="shared" si="11"/>
        <v>164167</v>
      </c>
      <c r="N112" s="7">
        <f t="shared" si="11"/>
        <v>165167</v>
      </c>
      <c r="O112" s="7">
        <f t="shared" si="11"/>
        <v>174667</v>
      </c>
      <c r="P112" s="7">
        <f t="shared" si="11"/>
        <v>181665</v>
      </c>
      <c r="Q112" s="7">
        <f t="shared" si="11"/>
        <v>2030500</v>
      </c>
      <c r="R112" s="308"/>
      <c r="S112" s="109">
        <f>Q112/$Q$230</f>
        <v>0.1268943536543449</v>
      </c>
    </row>
    <row r="113" spans="1:19" ht="17.25" thickTop="1" thickBot="1" x14ac:dyDescent="0.3">
      <c r="A113" s="231"/>
      <c r="B113" s="233"/>
      <c r="C113" s="231"/>
      <c r="D113" s="57" t="s">
        <v>2</v>
      </c>
      <c r="E113" s="8">
        <f t="shared" ref="E113:P113" si="12">E111/E112</f>
        <v>1.3788271230857423</v>
      </c>
      <c r="F113" s="8">
        <v>0.73429162560503514</v>
      </c>
      <c r="G113" s="8">
        <f t="shared" si="12"/>
        <v>0.65451802818809368</v>
      </c>
      <c r="H113" s="8">
        <f t="shared" si="12"/>
        <v>0</v>
      </c>
      <c r="I113" s="8">
        <f t="shared" si="12"/>
        <v>0</v>
      </c>
      <c r="J113" s="8">
        <f t="shared" si="12"/>
        <v>0</v>
      </c>
      <c r="K113" s="8">
        <f t="shared" si="12"/>
        <v>0</v>
      </c>
      <c r="L113" s="8">
        <f t="shared" si="12"/>
        <v>0</v>
      </c>
      <c r="M113" s="8">
        <f t="shared" si="12"/>
        <v>0</v>
      </c>
      <c r="N113" s="8">
        <f t="shared" si="12"/>
        <v>0</v>
      </c>
      <c r="O113" s="8">
        <f t="shared" si="12"/>
        <v>0</v>
      </c>
      <c r="P113" s="8">
        <f t="shared" si="12"/>
        <v>0</v>
      </c>
      <c r="Q113" s="46">
        <f>Q111/Q112</f>
        <v>0.24790790716572275</v>
      </c>
      <c r="R113" s="308"/>
      <c r="S113" s="103"/>
    </row>
    <row r="114" spans="1:19" ht="17.25" thickTop="1" thickBot="1" x14ac:dyDescent="0.3">
      <c r="A114" s="231"/>
      <c r="B114" s="233"/>
      <c r="C114" s="231"/>
      <c r="D114" s="65" t="s">
        <v>3</v>
      </c>
      <c r="E114" s="10">
        <f t="shared" ref="E114:P114" si="13">E111-E112</f>
        <v>69387.87</v>
      </c>
      <c r="F114" s="10">
        <v>-48801.860000000015</v>
      </c>
      <c r="G114" s="10">
        <f t="shared" si="13"/>
        <v>-61208.00450000001</v>
      </c>
      <c r="H114" s="10">
        <f t="shared" si="13"/>
        <v>-178667</v>
      </c>
      <c r="I114" s="10">
        <f t="shared" si="13"/>
        <v>-172667</v>
      </c>
      <c r="J114" s="10">
        <f t="shared" si="13"/>
        <v>-165167</v>
      </c>
      <c r="K114" s="10">
        <f t="shared" si="13"/>
        <v>-124667</v>
      </c>
      <c r="L114" s="10">
        <f t="shared" si="13"/>
        <v>-159667</v>
      </c>
      <c r="M114" s="10">
        <f t="shared" si="13"/>
        <v>-164167</v>
      </c>
      <c r="N114" s="10">
        <f t="shared" si="13"/>
        <v>-165167</v>
      </c>
      <c r="O114" s="10">
        <f t="shared" si="13"/>
        <v>-174667</v>
      </c>
      <c r="P114" s="10">
        <f t="shared" si="13"/>
        <v>-181665</v>
      </c>
      <c r="Q114" s="47">
        <f>Q111-Q112</f>
        <v>-1527122.9945</v>
      </c>
      <c r="R114" s="308"/>
      <c r="S114" s="104"/>
    </row>
    <row r="115" spans="1:19" ht="16.5" thickBot="1" x14ac:dyDescent="0.3">
      <c r="A115" s="231"/>
      <c r="B115" s="233"/>
      <c r="C115" s="231"/>
      <c r="D115" s="66" t="s">
        <v>4</v>
      </c>
      <c r="E115" s="9">
        <f>E114/E111</f>
        <v>0.27474591755777711</v>
      </c>
      <c r="F115" s="9">
        <v>-0.36185674074115831</v>
      </c>
      <c r="G115" s="9">
        <f t="shared" ref="G115:P115" si="14">G114/G111</f>
        <v>-0.5278417964564035</v>
      </c>
      <c r="H115" s="9" t="e">
        <f t="shared" si="14"/>
        <v>#DIV/0!</v>
      </c>
      <c r="I115" s="9" t="e">
        <f t="shared" si="14"/>
        <v>#DIV/0!</v>
      </c>
      <c r="J115" s="9" t="e">
        <f t="shared" si="14"/>
        <v>#DIV/0!</v>
      </c>
      <c r="K115" s="9" t="e">
        <f t="shared" si="14"/>
        <v>#DIV/0!</v>
      </c>
      <c r="L115" s="9" t="e">
        <f t="shared" si="14"/>
        <v>#DIV/0!</v>
      </c>
      <c r="M115" s="9" t="e">
        <f t="shared" si="14"/>
        <v>#DIV/0!</v>
      </c>
      <c r="N115" s="9" t="e">
        <f t="shared" si="14"/>
        <v>#DIV/0!</v>
      </c>
      <c r="O115" s="9" t="e">
        <f t="shared" si="14"/>
        <v>#DIV/0!</v>
      </c>
      <c r="P115" s="9" t="e">
        <f t="shared" si="14"/>
        <v>#DIV/0!</v>
      </c>
      <c r="Q115" s="48">
        <f>Q114/Q111</f>
        <v>-3.0337559678220143</v>
      </c>
      <c r="R115" s="18"/>
      <c r="S115" s="105"/>
    </row>
    <row r="116" spans="1:19" ht="15.75" thickBot="1" x14ac:dyDescent="0.25">
      <c r="A116" s="6"/>
      <c r="B116" s="6"/>
      <c r="C116" s="75"/>
      <c r="D116" s="67" t="s">
        <v>26</v>
      </c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40"/>
      <c r="Q116" s="67"/>
      <c r="R116" s="36"/>
      <c r="S116" s="106"/>
    </row>
    <row r="117" spans="1:19" ht="15.75" hidden="1" outlineLevel="1" x14ac:dyDescent="0.25">
      <c r="A117" s="220" t="s">
        <v>37</v>
      </c>
      <c r="B117" s="217" t="s">
        <v>12</v>
      </c>
      <c r="C117" s="222" t="s">
        <v>95</v>
      </c>
      <c r="D117" s="77" t="s">
        <v>14</v>
      </c>
      <c r="E117" s="78">
        <v>7496</v>
      </c>
      <c r="F117" s="78">
        <v>2499.5</v>
      </c>
      <c r="G117" s="79">
        <v>5203.6000000000004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90">
        <f>+SUM(E117:P117)</f>
        <v>15199.1</v>
      </c>
      <c r="R117" s="303">
        <f>Q117/Q118</f>
        <v>0.21559007092198582</v>
      </c>
      <c r="S117" s="110">
        <v>0</v>
      </c>
    </row>
    <row r="118" spans="1:19" ht="16.5" hidden="1" outlineLevel="1" thickBot="1" x14ac:dyDescent="0.3">
      <c r="A118" s="221"/>
      <c r="B118" s="129"/>
      <c r="C118" s="223"/>
      <c r="D118" s="81" t="s">
        <v>1</v>
      </c>
      <c r="E118" s="88">
        <v>7000</v>
      </c>
      <c r="F118" s="88">
        <v>6500</v>
      </c>
      <c r="G118" s="88">
        <v>6500</v>
      </c>
      <c r="H118" s="88">
        <v>5500</v>
      </c>
      <c r="I118" s="88">
        <v>5500</v>
      </c>
      <c r="J118" s="88">
        <v>5500</v>
      </c>
      <c r="K118" s="88">
        <v>5500</v>
      </c>
      <c r="L118" s="88">
        <v>5500</v>
      </c>
      <c r="M118" s="88">
        <v>5500</v>
      </c>
      <c r="N118" s="88">
        <v>6000</v>
      </c>
      <c r="O118" s="88">
        <v>5000</v>
      </c>
      <c r="P118" s="88">
        <v>6500</v>
      </c>
      <c r="Q118" s="144">
        <f>SUM(E118:P118)</f>
        <v>70500</v>
      </c>
      <c r="R118" s="304"/>
      <c r="S118" s="109">
        <f>Q118/$Q$230</f>
        <v>4.4058369527856765E-3</v>
      </c>
    </row>
    <row r="119" spans="1:19" ht="15.75" hidden="1" outlineLevel="1" x14ac:dyDescent="0.25">
      <c r="A119" s="220" t="s">
        <v>37</v>
      </c>
      <c r="B119" s="217" t="s">
        <v>12</v>
      </c>
      <c r="C119" s="222" t="s">
        <v>38</v>
      </c>
      <c r="D119" s="77" t="s">
        <v>14</v>
      </c>
      <c r="E119" s="78"/>
      <c r="F119" s="78"/>
      <c r="G119" s="79">
        <v>774.5</v>
      </c>
      <c r="H119" s="80"/>
      <c r="I119" s="80"/>
      <c r="J119" s="80"/>
      <c r="K119" s="80"/>
      <c r="L119" s="80"/>
      <c r="M119" s="80"/>
      <c r="N119" s="80"/>
      <c r="O119" s="80"/>
      <c r="P119" s="80"/>
      <c r="Q119" s="90">
        <f>+SUM(E119:P119)</f>
        <v>774.5</v>
      </c>
      <c r="R119" s="303">
        <f>Q119/Q120</f>
        <v>1.549E-2</v>
      </c>
      <c r="S119" s="110">
        <v>0</v>
      </c>
    </row>
    <row r="120" spans="1:19" ht="16.5" hidden="1" outlineLevel="1" thickBot="1" x14ac:dyDescent="0.3">
      <c r="A120" s="221"/>
      <c r="B120" s="129"/>
      <c r="C120" s="223"/>
      <c r="D120" s="81" t="s">
        <v>1</v>
      </c>
      <c r="E120" s="88">
        <v>2500</v>
      </c>
      <c r="F120" s="88">
        <v>5000</v>
      </c>
      <c r="G120" s="88">
        <v>2500</v>
      </c>
      <c r="H120" s="88">
        <v>5000</v>
      </c>
      <c r="I120" s="88">
        <v>5000</v>
      </c>
      <c r="J120" s="88">
        <v>5000</v>
      </c>
      <c r="K120" s="88">
        <v>2500</v>
      </c>
      <c r="L120" s="88">
        <v>2500</v>
      </c>
      <c r="M120" s="88">
        <v>5000</v>
      </c>
      <c r="N120" s="88">
        <v>5000</v>
      </c>
      <c r="O120" s="88">
        <v>5000</v>
      </c>
      <c r="P120" s="88">
        <v>5000</v>
      </c>
      <c r="Q120" s="144">
        <f>SUM(E120:P120)</f>
        <v>50000</v>
      </c>
      <c r="R120" s="304"/>
      <c r="S120" s="109">
        <f>Q120/$Q$230</f>
        <v>3.1247070587132456E-3</v>
      </c>
    </row>
    <row r="121" spans="1:19" ht="15.75" hidden="1" outlineLevel="1" x14ac:dyDescent="0.25">
      <c r="A121" s="220" t="s">
        <v>37</v>
      </c>
      <c r="B121" s="217" t="s">
        <v>12</v>
      </c>
      <c r="C121" s="222" t="s">
        <v>131</v>
      </c>
      <c r="D121" s="77" t="s">
        <v>14</v>
      </c>
      <c r="E121" s="78"/>
      <c r="F121" s="78">
        <v>8103.5</v>
      </c>
      <c r="G121" s="79">
        <v>7506.65</v>
      </c>
      <c r="H121" s="80"/>
      <c r="I121" s="80"/>
      <c r="J121" s="80"/>
      <c r="K121" s="80"/>
      <c r="L121" s="80"/>
      <c r="M121" s="80"/>
      <c r="N121" s="80"/>
      <c r="O121" s="80"/>
      <c r="P121" s="80"/>
      <c r="Q121" s="90">
        <f>+SUM(E121:P121)</f>
        <v>15610.15</v>
      </c>
      <c r="R121" s="303">
        <f>Q121/Q122</f>
        <v>0.20813533333333334</v>
      </c>
      <c r="S121" s="110" t="e">
        <v>#REF!</v>
      </c>
    </row>
    <row r="122" spans="1:19" ht="16.5" hidden="1" outlineLevel="1" thickBot="1" x14ac:dyDescent="0.3">
      <c r="A122" s="221"/>
      <c r="B122" s="129"/>
      <c r="C122" s="223"/>
      <c r="D122" s="81" t="s">
        <v>1</v>
      </c>
      <c r="E122" s="88">
        <v>5000</v>
      </c>
      <c r="F122" s="88">
        <v>5500</v>
      </c>
      <c r="G122" s="88">
        <v>5000</v>
      </c>
      <c r="H122" s="88">
        <v>4000</v>
      </c>
      <c r="I122" s="88">
        <v>5500</v>
      </c>
      <c r="J122" s="88">
        <v>3000</v>
      </c>
      <c r="K122" s="88">
        <v>8000</v>
      </c>
      <c r="L122" s="88">
        <v>2000</v>
      </c>
      <c r="M122" s="88">
        <v>5000</v>
      </c>
      <c r="N122" s="88">
        <v>7000</v>
      </c>
      <c r="O122" s="88">
        <v>15000</v>
      </c>
      <c r="P122" s="88">
        <v>10000</v>
      </c>
      <c r="Q122" s="144">
        <f>SUM(E122:P122)</f>
        <v>75000</v>
      </c>
      <c r="R122" s="304"/>
      <c r="S122" s="109">
        <f>Q122/$Q$230</f>
        <v>4.6870605880698687E-3</v>
      </c>
    </row>
    <row r="123" spans="1:19" ht="15.75" hidden="1" outlineLevel="1" x14ac:dyDescent="0.25">
      <c r="A123" s="220" t="s">
        <v>37</v>
      </c>
      <c r="B123" s="217" t="s">
        <v>12</v>
      </c>
      <c r="C123" s="222" t="s">
        <v>119</v>
      </c>
      <c r="D123" s="77" t="s">
        <v>14</v>
      </c>
      <c r="E123" s="78">
        <v>33581.800000000003</v>
      </c>
      <c r="F123" s="78">
        <v>8950.6</v>
      </c>
      <c r="G123" s="79">
        <v>12453.590899999999</v>
      </c>
      <c r="H123" s="80"/>
      <c r="I123" s="80"/>
      <c r="J123" s="80"/>
      <c r="K123" s="80"/>
      <c r="L123" s="80"/>
      <c r="M123" s="80"/>
      <c r="N123" s="80"/>
      <c r="O123" s="80"/>
      <c r="P123" s="80"/>
      <c r="Q123" s="90">
        <f>+SUM(E123:P123)</f>
        <v>54985.990900000004</v>
      </c>
      <c r="R123" s="303">
        <f>Q123/Q124</f>
        <v>0.18328663633333334</v>
      </c>
      <c r="S123" s="110">
        <v>0</v>
      </c>
    </row>
    <row r="124" spans="1:19" ht="16.5" hidden="1" outlineLevel="1" thickBot="1" x14ac:dyDescent="0.3">
      <c r="A124" s="221"/>
      <c r="B124" s="129"/>
      <c r="C124" s="223"/>
      <c r="D124" s="81" t="s">
        <v>1</v>
      </c>
      <c r="E124" s="88">
        <v>25000</v>
      </c>
      <c r="F124" s="88">
        <v>25000</v>
      </c>
      <c r="G124" s="88">
        <v>25000</v>
      </c>
      <c r="H124" s="88">
        <v>25000</v>
      </c>
      <c r="I124" s="88">
        <v>25000</v>
      </c>
      <c r="J124" s="88">
        <v>25000</v>
      </c>
      <c r="K124" s="88">
        <v>25000</v>
      </c>
      <c r="L124" s="88">
        <v>25000</v>
      </c>
      <c r="M124" s="88">
        <v>25000</v>
      </c>
      <c r="N124" s="88">
        <v>25000</v>
      </c>
      <c r="O124" s="88">
        <v>25000</v>
      </c>
      <c r="P124" s="88">
        <v>25000</v>
      </c>
      <c r="Q124" s="144">
        <f>SUM(E124:P124)</f>
        <v>300000</v>
      </c>
      <c r="R124" s="304"/>
      <c r="S124" s="109">
        <f>Q124/$Q$230</f>
        <v>1.8748242352279475E-2</v>
      </c>
    </row>
    <row r="125" spans="1:19" ht="15.75" hidden="1" outlineLevel="1" x14ac:dyDescent="0.25">
      <c r="A125" s="220" t="s">
        <v>37</v>
      </c>
      <c r="B125" s="217" t="s">
        <v>12</v>
      </c>
      <c r="C125" s="222" t="s">
        <v>39</v>
      </c>
      <c r="D125" s="77" t="s">
        <v>14</v>
      </c>
      <c r="E125" s="78"/>
      <c r="F125" s="78"/>
      <c r="G125" s="79">
        <v>4163.5</v>
      </c>
      <c r="H125" s="80"/>
      <c r="I125" s="80"/>
      <c r="J125" s="80"/>
      <c r="K125" s="80"/>
      <c r="L125" s="80"/>
      <c r="M125" s="80"/>
      <c r="N125" s="80"/>
      <c r="O125" s="80"/>
      <c r="P125" s="80"/>
      <c r="Q125" s="90">
        <f>+SUM(E125:P125)</f>
        <v>4163.5</v>
      </c>
      <c r="R125" s="303">
        <f>Q125/Q126</f>
        <v>8.2445544554455449E-2</v>
      </c>
      <c r="S125" s="110">
        <v>0</v>
      </c>
    </row>
    <row r="126" spans="1:19" ht="16.5" hidden="1" outlineLevel="1" thickBot="1" x14ac:dyDescent="0.3">
      <c r="A126" s="221"/>
      <c r="B126" s="129"/>
      <c r="C126" s="223"/>
      <c r="D126" s="81" t="s">
        <v>1</v>
      </c>
      <c r="E126" s="88">
        <v>2500</v>
      </c>
      <c r="F126" s="88">
        <v>4500</v>
      </c>
      <c r="G126" s="88">
        <v>4500</v>
      </c>
      <c r="H126" s="88">
        <v>4500</v>
      </c>
      <c r="I126" s="88">
        <v>4500</v>
      </c>
      <c r="J126" s="88">
        <v>4500</v>
      </c>
      <c r="K126" s="88">
        <v>3000</v>
      </c>
      <c r="L126" s="88">
        <v>4500</v>
      </c>
      <c r="M126" s="88">
        <v>4500</v>
      </c>
      <c r="N126" s="88">
        <v>4500</v>
      </c>
      <c r="O126" s="88">
        <v>4500</v>
      </c>
      <c r="P126" s="88">
        <v>4500</v>
      </c>
      <c r="Q126" s="144">
        <f>SUM(E126:P126)</f>
        <v>50500</v>
      </c>
      <c r="R126" s="304"/>
      <c r="S126" s="109">
        <f>Q126/$Q$230</f>
        <v>3.155954129300378E-3</v>
      </c>
    </row>
    <row r="127" spans="1:19" ht="15.75" hidden="1" outlineLevel="1" x14ac:dyDescent="0.25">
      <c r="A127" s="220" t="s">
        <v>37</v>
      </c>
      <c r="B127" s="217" t="s">
        <v>12</v>
      </c>
      <c r="C127" s="222" t="s">
        <v>40</v>
      </c>
      <c r="D127" s="77" t="s">
        <v>14</v>
      </c>
      <c r="E127" s="78">
        <v>10785</v>
      </c>
      <c r="F127" s="78">
        <v>68</v>
      </c>
      <c r="G127" s="79">
        <v>1272</v>
      </c>
      <c r="H127" s="80"/>
      <c r="I127" s="80"/>
      <c r="J127" s="80"/>
      <c r="K127" s="80"/>
      <c r="L127" s="80"/>
      <c r="M127" s="80"/>
      <c r="N127" s="80"/>
      <c r="O127" s="80"/>
      <c r="P127" s="80"/>
      <c r="Q127" s="90">
        <f>+SUM(E127:P127)</f>
        <v>12125</v>
      </c>
      <c r="R127" s="303">
        <f>Q127/Q128</f>
        <v>0.32333333333333331</v>
      </c>
      <c r="S127" s="110">
        <v>0</v>
      </c>
    </row>
    <row r="128" spans="1:19" ht="16.5" hidden="1" outlineLevel="1" thickBot="1" x14ac:dyDescent="0.3">
      <c r="A128" s="221"/>
      <c r="B128" s="129"/>
      <c r="C128" s="223"/>
      <c r="D128" s="81" t="s">
        <v>1</v>
      </c>
      <c r="E128" s="88">
        <v>2500</v>
      </c>
      <c r="F128" s="88"/>
      <c r="G128" s="88">
        <v>5000</v>
      </c>
      <c r="H128" s="88">
        <v>5000</v>
      </c>
      <c r="I128" s="88">
        <v>5000</v>
      </c>
      <c r="J128" s="88">
        <v>2500</v>
      </c>
      <c r="K128" s="88"/>
      <c r="L128" s="88">
        <v>2500</v>
      </c>
      <c r="M128" s="88">
        <v>5000</v>
      </c>
      <c r="N128" s="88">
        <v>2500</v>
      </c>
      <c r="O128" s="88">
        <v>5000</v>
      </c>
      <c r="P128" s="88">
        <v>2500</v>
      </c>
      <c r="Q128" s="144">
        <f>SUM(E128:P128)</f>
        <v>37500</v>
      </c>
      <c r="R128" s="304"/>
      <c r="S128" s="109">
        <f>Q128/$Q$230</f>
        <v>2.3435302940349343E-3</v>
      </c>
    </row>
    <row r="129" spans="1:19" ht="15.75" hidden="1" outlineLevel="1" x14ac:dyDescent="0.25">
      <c r="A129" s="220" t="s">
        <v>37</v>
      </c>
      <c r="B129" s="217" t="s">
        <v>12</v>
      </c>
      <c r="C129" s="222" t="s">
        <v>137</v>
      </c>
      <c r="D129" s="77" t="s">
        <v>14</v>
      </c>
      <c r="E129" s="78">
        <v>3452.32</v>
      </c>
      <c r="F129" s="78">
        <v>3375.9500000000003</v>
      </c>
      <c r="G129" s="79">
        <v>4399.4324999999999</v>
      </c>
      <c r="H129" s="80"/>
      <c r="I129" s="80"/>
      <c r="J129" s="80"/>
      <c r="K129" s="80"/>
      <c r="L129" s="80"/>
      <c r="M129" s="80"/>
      <c r="N129" s="80"/>
      <c r="O129" s="80"/>
      <c r="P129" s="80"/>
      <c r="Q129" s="90">
        <f>+SUM(E129:P129)</f>
        <v>11227.702499999999</v>
      </c>
      <c r="R129" s="303">
        <f>Q129/Q130</f>
        <v>0.16039575</v>
      </c>
      <c r="S129" s="110">
        <v>0</v>
      </c>
    </row>
    <row r="130" spans="1:19" ht="16.5" hidden="1" outlineLevel="1" thickBot="1" x14ac:dyDescent="0.3">
      <c r="A130" s="221"/>
      <c r="B130" s="129"/>
      <c r="C130" s="223"/>
      <c r="D130" s="81" t="s">
        <v>1</v>
      </c>
      <c r="E130" s="88">
        <v>3500</v>
      </c>
      <c r="F130" s="88">
        <v>3500</v>
      </c>
      <c r="G130" s="88">
        <v>5000</v>
      </c>
      <c r="H130" s="88">
        <v>11000</v>
      </c>
      <c r="I130" s="88">
        <v>7500</v>
      </c>
      <c r="J130" s="88">
        <v>7500</v>
      </c>
      <c r="K130" s="88">
        <v>7500</v>
      </c>
      <c r="L130" s="88">
        <v>7500</v>
      </c>
      <c r="M130" s="88">
        <v>3500</v>
      </c>
      <c r="N130" s="88">
        <v>2500</v>
      </c>
      <c r="O130" s="88">
        <v>7500</v>
      </c>
      <c r="P130" s="88">
        <v>3500</v>
      </c>
      <c r="Q130" s="144">
        <f>SUM(E130:P130)</f>
        <v>70000</v>
      </c>
      <c r="R130" s="304"/>
      <c r="S130" s="109">
        <f>Q130/$Q$230</f>
        <v>4.3745898821985442E-3</v>
      </c>
    </row>
    <row r="131" spans="1:19" ht="15.75" hidden="1" outlineLevel="1" x14ac:dyDescent="0.25">
      <c r="A131" s="220" t="s">
        <v>37</v>
      </c>
      <c r="B131" s="217" t="s">
        <v>12</v>
      </c>
      <c r="C131" s="222" t="s">
        <v>118</v>
      </c>
      <c r="D131" s="77" t="s">
        <v>14</v>
      </c>
      <c r="E131" s="78">
        <v>46025</v>
      </c>
      <c r="F131" s="78">
        <v>37960.519999999997</v>
      </c>
      <c r="G131" s="79">
        <v>27111.1</v>
      </c>
      <c r="H131" s="80"/>
      <c r="I131" s="80"/>
      <c r="J131" s="80"/>
      <c r="K131" s="80"/>
      <c r="L131" s="80"/>
      <c r="M131" s="80"/>
      <c r="N131" s="80"/>
      <c r="O131" s="80"/>
      <c r="P131" s="80"/>
      <c r="Q131" s="90">
        <f>+SUM(E131:P131)</f>
        <v>111096.62</v>
      </c>
      <c r="R131" s="303">
        <f>Q131/Q132</f>
        <v>0.27774155</v>
      </c>
      <c r="S131" s="110">
        <v>0</v>
      </c>
    </row>
    <row r="132" spans="1:19" ht="16.5" hidden="1" outlineLevel="1" thickBot="1" x14ac:dyDescent="0.3">
      <c r="A132" s="221"/>
      <c r="B132" s="129"/>
      <c r="C132" s="223"/>
      <c r="D132" s="81" t="s">
        <v>1</v>
      </c>
      <c r="E132" s="88">
        <v>40000</v>
      </c>
      <c r="F132" s="88">
        <v>35000</v>
      </c>
      <c r="G132" s="88">
        <v>40000</v>
      </c>
      <c r="H132" s="88">
        <v>30000</v>
      </c>
      <c r="I132" s="88">
        <v>40000</v>
      </c>
      <c r="J132" s="88">
        <v>20000</v>
      </c>
      <c r="K132" s="88">
        <v>20000</v>
      </c>
      <c r="L132" s="88">
        <v>35000</v>
      </c>
      <c r="M132" s="88">
        <v>30000</v>
      </c>
      <c r="N132" s="88">
        <v>40000</v>
      </c>
      <c r="O132" s="88">
        <v>20000</v>
      </c>
      <c r="P132" s="88">
        <v>50000</v>
      </c>
      <c r="Q132" s="144">
        <f>SUM(E132:P132)</f>
        <v>400000</v>
      </c>
      <c r="R132" s="304"/>
      <c r="S132" s="109">
        <f>Q132/$Q$230</f>
        <v>2.4997656469705965E-2</v>
      </c>
    </row>
    <row r="133" spans="1:19" ht="15.75" hidden="1" outlineLevel="1" x14ac:dyDescent="0.25">
      <c r="A133" s="220" t="s">
        <v>37</v>
      </c>
      <c r="B133" s="217" t="s">
        <v>12</v>
      </c>
      <c r="C133" s="222" t="s">
        <v>41</v>
      </c>
      <c r="D133" s="77" t="s">
        <v>14</v>
      </c>
      <c r="E133" s="78">
        <v>10921.75</v>
      </c>
      <c r="F133" s="78">
        <v>4290.05</v>
      </c>
      <c r="G133" s="79">
        <v>11387.15</v>
      </c>
      <c r="H133" s="80"/>
      <c r="I133" s="80"/>
      <c r="J133" s="80"/>
      <c r="K133" s="80"/>
      <c r="L133" s="80"/>
      <c r="M133" s="80"/>
      <c r="N133" s="80"/>
      <c r="O133" s="80"/>
      <c r="P133" s="80"/>
      <c r="Q133" s="90">
        <f>+SUM(E133:P133)</f>
        <v>26598.949999999997</v>
      </c>
      <c r="R133" s="303">
        <f>Q133/Q134</f>
        <v>0.17673720930232556</v>
      </c>
      <c r="S133" s="110">
        <v>0</v>
      </c>
    </row>
    <row r="134" spans="1:19" ht="16.5" hidden="1" outlineLevel="1" thickBot="1" x14ac:dyDescent="0.3">
      <c r="A134" s="221"/>
      <c r="B134" s="129"/>
      <c r="C134" s="223"/>
      <c r="D134" s="81" t="s">
        <v>1</v>
      </c>
      <c r="E134" s="88">
        <v>12500</v>
      </c>
      <c r="F134" s="88">
        <v>12500</v>
      </c>
      <c r="G134" s="88">
        <v>12500</v>
      </c>
      <c r="H134" s="88">
        <v>12500</v>
      </c>
      <c r="I134" s="88">
        <v>12500</v>
      </c>
      <c r="J134" s="88">
        <v>12500</v>
      </c>
      <c r="K134" s="88">
        <v>12500</v>
      </c>
      <c r="L134" s="88">
        <v>12500</v>
      </c>
      <c r="M134" s="88">
        <v>12500</v>
      </c>
      <c r="N134" s="88">
        <v>12500</v>
      </c>
      <c r="O134" s="88">
        <v>13000</v>
      </c>
      <c r="P134" s="88">
        <v>12500</v>
      </c>
      <c r="Q134" s="144">
        <f>SUM(E134:P134)</f>
        <v>150500</v>
      </c>
      <c r="R134" s="304"/>
      <c r="S134" s="109">
        <f>Q134/$Q$230</f>
        <v>9.4053682467268689E-3</v>
      </c>
    </row>
    <row r="135" spans="1:19" ht="15.75" hidden="1" outlineLevel="1" x14ac:dyDescent="0.25">
      <c r="A135" s="220" t="s">
        <v>37</v>
      </c>
      <c r="B135" s="217" t="s">
        <v>12</v>
      </c>
      <c r="C135" s="222" t="s">
        <v>42</v>
      </c>
      <c r="D135" s="77" t="s">
        <v>14</v>
      </c>
      <c r="E135" s="78">
        <v>13885</v>
      </c>
      <c r="F135" s="78">
        <v>17552.650000000001</v>
      </c>
      <c r="G135" s="79">
        <v>21739.71</v>
      </c>
      <c r="H135" s="80"/>
      <c r="I135" s="80"/>
      <c r="J135" s="80"/>
      <c r="K135" s="80"/>
      <c r="L135" s="80"/>
      <c r="M135" s="80"/>
      <c r="N135" s="80"/>
      <c r="O135" s="80"/>
      <c r="P135" s="80"/>
      <c r="Q135" s="90">
        <f>+SUM(E135:P135)</f>
        <v>53177.36</v>
      </c>
      <c r="R135" s="303">
        <f>Q135/Q136</f>
        <v>0.31280800000000003</v>
      </c>
      <c r="S135" s="110" t="e">
        <v>#REF!</v>
      </c>
    </row>
    <row r="136" spans="1:19" ht="16.5" hidden="1" outlineLevel="1" thickBot="1" x14ac:dyDescent="0.3">
      <c r="A136" s="221"/>
      <c r="B136" s="129"/>
      <c r="C136" s="223"/>
      <c r="D136" s="81" t="s">
        <v>1</v>
      </c>
      <c r="E136" s="88">
        <v>20000</v>
      </c>
      <c r="F136" s="88">
        <v>20000</v>
      </c>
      <c r="G136" s="88">
        <v>18000</v>
      </c>
      <c r="H136" s="88">
        <v>14000</v>
      </c>
      <c r="I136" s="88">
        <v>13000</v>
      </c>
      <c r="J136" s="88">
        <v>10000</v>
      </c>
      <c r="K136" s="88">
        <v>13000</v>
      </c>
      <c r="L136" s="88">
        <v>13000</v>
      </c>
      <c r="M136" s="88">
        <v>10000</v>
      </c>
      <c r="N136" s="88">
        <v>13000</v>
      </c>
      <c r="O136" s="88">
        <v>13000</v>
      </c>
      <c r="P136" s="88">
        <v>13000</v>
      </c>
      <c r="Q136" s="144">
        <f>SUM(E136:P136)</f>
        <v>170000</v>
      </c>
      <c r="R136" s="304"/>
      <c r="S136" s="109">
        <f>Q136/$Q$230</f>
        <v>1.0624003999625035E-2</v>
      </c>
    </row>
    <row r="137" spans="1:19" ht="15.75" hidden="1" outlineLevel="1" x14ac:dyDescent="0.25">
      <c r="A137" s="220" t="s">
        <v>37</v>
      </c>
      <c r="B137" s="217" t="s">
        <v>12</v>
      </c>
      <c r="C137" s="222" t="s">
        <v>117</v>
      </c>
      <c r="D137" s="77" t="s">
        <v>14</v>
      </c>
      <c r="E137" s="78"/>
      <c r="F137" s="78">
        <v>5073</v>
      </c>
      <c r="G137" s="79">
        <v>7421</v>
      </c>
      <c r="H137" s="80"/>
      <c r="I137" s="80"/>
      <c r="J137" s="80"/>
      <c r="K137" s="80"/>
      <c r="L137" s="80"/>
      <c r="M137" s="80"/>
      <c r="N137" s="80"/>
      <c r="O137" s="80"/>
      <c r="P137" s="80"/>
      <c r="Q137" s="90">
        <f>+SUM(E137:P137)</f>
        <v>12494</v>
      </c>
      <c r="R137" s="303">
        <f>Q137/Q138</f>
        <v>0.29747619047619045</v>
      </c>
      <c r="S137" s="110" t="e">
        <v>#REF!</v>
      </c>
    </row>
    <row r="138" spans="1:19" ht="16.5" hidden="1" outlineLevel="1" thickBot="1" x14ac:dyDescent="0.3">
      <c r="A138" s="221"/>
      <c r="B138" s="129"/>
      <c r="C138" s="223"/>
      <c r="D138" s="81" t="s">
        <v>1</v>
      </c>
      <c r="E138" s="88">
        <v>3500</v>
      </c>
      <c r="F138" s="88">
        <v>3500</v>
      </c>
      <c r="G138" s="88">
        <v>3500</v>
      </c>
      <c r="H138" s="88">
        <v>3500</v>
      </c>
      <c r="I138" s="88">
        <v>3500</v>
      </c>
      <c r="J138" s="88">
        <v>3500</v>
      </c>
      <c r="K138" s="88">
        <v>3500</v>
      </c>
      <c r="L138" s="88">
        <v>3500</v>
      </c>
      <c r="M138" s="88">
        <v>3500</v>
      </c>
      <c r="N138" s="88">
        <v>3500</v>
      </c>
      <c r="O138" s="88">
        <v>3500</v>
      </c>
      <c r="P138" s="88">
        <v>3500</v>
      </c>
      <c r="Q138" s="144">
        <f>SUM(E138:P138)</f>
        <v>42000</v>
      </c>
      <c r="R138" s="304"/>
      <c r="S138" s="109">
        <f>Q138/$Q$230</f>
        <v>2.6247539293191265E-3</v>
      </c>
    </row>
    <row r="139" spans="1:19" ht="15.75" hidden="1" outlineLevel="1" x14ac:dyDescent="0.25">
      <c r="A139" s="220" t="s">
        <v>37</v>
      </c>
      <c r="B139" s="217" t="s">
        <v>12</v>
      </c>
      <c r="C139" s="222" t="s">
        <v>116</v>
      </c>
      <c r="D139" s="77" t="s">
        <v>14</v>
      </c>
      <c r="E139" s="78">
        <v>11524.8</v>
      </c>
      <c r="F139" s="78">
        <v>15193.6</v>
      </c>
      <c r="G139" s="79">
        <v>6915.6100000000006</v>
      </c>
      <c r="H139" s="80"/>
      <c r="I139" s="80"/>
      <c r="J139" s="80"/>
      <c r="K139" s="80"/>
      <c r="L139" s="80"/>
      <c r="M139" s="80"/>
      <c r="N139" s="80"/>
      <c r="O139" s="80"/>
      <c r="P139" s="80"/>
      <c r="Q139" s="90">
        <f>+SUM(E139:P139)</f>
        <v>33634.01</v>
      </c>
      <c r="R139" s="303">
        <f>Q139/Q140</f>
        <v>0.22422673333333334</v>
      </c>
      <c r="S139" s="110" t="e">
        <v>#REF!</v>
      </c>
    </row>
    <row r="140" spans="1:19" ht="16.5" hidden="1" outlineLevel="1" thickBot="1" x14ac:dyDescent="0.3">
      <c r="A140" s="221"/>
      <c r="B140" s="129"/>
      <c r="C140" s="223"/>
      <c r="D140" s="81" t="s">
        <v>1</v>
      </c>
      <c r="E140" s="88">
        <v>12500</v>
      </c>
      <c r="F140" s="88">
        <v>12500</v>
      </c>
      <c r="G140" s="88">
        <v>12500</v>
      </c>
      <c r="H140" s="88">
        <v>12500</v>
      </c>
      <c r="I140" s="88">
        <v>12500</v>
      </c>
      <c r="J140" s="88">
        <v>12500</v>
      </c>
      <c r="K140" s="88">
        <v>12500</v>
      </c>
      <c r="L140" s="88">
        <v>12500</v>
      </c>
      <c r="M140" s="88">
        <v>12500</v>
      </c>
      <c r="N140" s="88">
        <v>12500</v>
      </c>
      <c r="O140" s="88">
        <v>12500</v>
      </c>
      <c r="P140" s="88">
        <v>12500</v>
      </c>
      <c r="Q140" s="144">
        <f>SUM(E140:P140)</f>
        <v>150000</v>
      </c>
      <c r="R140" s="304"/>
      <c r="S140" s="109">
        <f>Q140/$Q$230</f>
        <v>9.3741211761397374E-3</v>
      </c>
    </row>
    <row r="141" spans="1:19" ht="15.75" hidden="1" outlineLevel="1" x14ac:dyDescent="0.25">
      <c r="A141" s="220" t="s">
        <v>37</v>
      </c>
      <c r="B141" s="217" t="s">
        <v>12</v>
      </c>
      <c r="C141" s="222" t="s">
        <v>115</v>
      </c>
      <c r="D141" s="77" t="s">
        <v>14</v>
      </c>
      <c r="E141" s="78">
        <v>10400.68</v>
      </c>
      <c r="F141" s="78">
        <v>5958.36</v>
      </c>
      <c r="G141" s="79">
        <v>4874.18</v>
      </c>
      <c r="H141" s="80"/>
      <c r="I141" s="80"/>
      <c r="J141" s="80"/>
      <c r="K141" s="80"/>
      <c r="L141" s="80"/>
      <c r="M141" s="80"/>
      <c r="N141" s="80"/>
      <c r="O141" s="80"/>
      <c r="P141" s="80"/>
      <c r="Q141" s="90">
        <f>+SUM(E141:P141)</f>
        <v>21233.22</v>
      </c>
      <c r="R141" s="303">
        <f>Q141/Q142</f>
        <v>0.30333171428571432</v>
      </c>
      <c r="S141" s="110" t="e">
        <v>#REF!</v>
      </c>
    </row>
    <row r="142" spans="1:19" ht="16.5" hidden="1" outlineLevel="1" thickBot="1" x14ac:dyDescent="0.3">
      <c r="A142" s="221"/>
      <c r="B142" s="129"/>
      <c r="C142" s="223"/>
      <c r="D142" s="81" t="s">
        <v>1</v>
      </c>
      <c r="E142" s="88">
        <v>5000</v>
      </c>
      <c r="F142" s="88">
        <v>6500</v>
      </c>
      <c r="G142" s="88">
        <v>5000</v>
      </c>
      <c r="H142" s="88">
        <v>4000</v>
      </c>
      <c r="I142" s="88">
        <v>5500</v>
      </c>
      <c r="J142" s="88">
        <v>3000</v>
      </c>
      <c r="K142" s="88">
        <v>8000</v>
      </c>
      <c r="L142" s="88">
        <v>3000</v>
      </c>
      <c r="M142" s="88">
        <v>6500</v>
      </c>
      <c r="N142" s="88">
        <v>7000</v>
      </c>
      <c r="O142" s="88">
        <v>6500</v>
      </c>
      <c r="P142" s="88">
        <v>10000</v>
      </c>
      <c r="Q142" s="144">
        <f>SUM(E142:P142)</f>
        <v>70000</v>
      </c>
      <c r="R142" s="304"/>
      <c r="S142" s="109">
        <f>Q142/$Q$230</f>
        <v>4.3745898821985442E-3</v>
      </c>
    </row>
    <row r="143" spans="1:19" ht="15.75" hidden="1" outlineLevel="1" x14ac:dyDescent="0.25">
      <c r="A143" s="220" t="s">
        <v>37</v>
      </c>
      <c r="B143" s="217" t="s">
        <v>12</v>
      </c>
      <c r="C143" s="222" t="s">
        <v>43</v>
      </c>
      <c r="D143" s="77" t="s">
        <v>14</v>
      </c>
      <c r="E143" s="78">
        <v>2628.9</v>
      </c>
      <c r="F143" s="78">
        <v>53.7</v>
      </c>
      <c r="G143" s="79">
        <v>5625.7</v>
      </c>
      <c r="H143" s="80"/>
      <c r="I143" s="80"/>
      <c r="J143" s="80"/>
      <c r="K143" s="80"/>
      <c r="L143" s="80"/>
      <c r="M143" s="80"/>
      <c r="N143" s="80"/>
      <c r="O143" s="80"/>
      <c r="P143" s="80"/>
      <c r="Q143" s="90">
        <f>+SUM(E143:P143)</f>
        <v>8308.2999999999993</v>
      </c>
      <c r="R143" s="303">
        <f>Q143/Q144</f>
        <v>0.11868999999999999</v>
      </c>
      <c r="S143" s="110" t="e">
        <v>#REF!</v>
      </c>
    </row>
    <row r="144" spans="1:19" ht="16.5" hidden="1" outlineLevel="1" thickBot="1" x14ac:dyDescent="0.3">
      <c r="A144" s="221"/>
      <c r="B144" s="129"/>
      <c r="C144" s="223"/>
      <c r="D144" s="81" t="s">
        <v>1</v>
      </c>
      <c r="E144" s="88">
        <v>5000</v>
      </c>
      <c r="F144" s="88">
        <v>5000</v>
      </c>
      <c r="G144" s="88">
        <v>10000</v>
      </c>
      <c r="H144" s="88">
        <v>2500</v>
      </c>
      <c r="I144" s="88">
        <v>5000</v>
      </c>
      <c r="J144" s="88">
        <v>5000</v>
      </c>
      <c r="K144" s="88">
        <v>5000</v>
      </c>
      <c r="L144" s="88">
        <v>7500</v>
      </c>
      <c r="M144" s="88">
        <v>5000</v>
      </c>
      <c r="N144" s="88">
        <v>10000</v>
      </c>
      <c r="O144" s="88">
        <v>5000</v>
      </c>
      <c r="P144" s="88">
        <v>5000</v>
      </c>
      <c r="Q144" s="144">
        <f>SUM(E144:P144)</f>
        <v>70000</v>
      </c>
      <c r="R144" s="304"/>
      <c r="S144" s="109">
        <f>Q144/$Q$230</f>
        <v>4.3745898821985442E-3</v>
      </c>
    </row>
    <row r="145" spans="1:19" ht="15.75" hidden="1" outlineLevel="1" x14ac:dyDescent="0.25">
      <c r="A145" s="220" t="s">
        <v>37</v>
      </c>
      <c r="B145" s="217" t="s">
        <v>12</v>
      </c>
      <c r="C145" s="222" t="s">
        <v>44</v>
      </c>
      <c r="D145" s="77" t="s">
        <v>14</v>
      </c>
      <c r="E145" s="78">
        <v>6839</v>
      </c>
      <c r="F145" s="78">
        <v>1712</v>
      </c>
      <c r="G145" s="79">
        <v>769.5</v>
      </c>
      <c r="H145" s="80"/>
      <c r="I145" s="80"/>
      <c r="J145" s="80"/>
      <c r="K145" s="134"/>
      <c r="L145" s="135"/>
      <c r="M145" s="80"/>
      <c r="N145" s="80"/>
      <c r="O145" s="80"/>
      <c r="P145" s="80"/>
      <c r="Q145" s="90">
        <f>+SUM(E145:P145)</f>
        <v>9320.5</v>
      </c>
      <c r="R145" s="303">
        <f>Q145/Q146</f>
        <v>0.18640999999999999</v>
      </c>
      <c r="S145" s="110" t="e">
        <v>#REF!</v>
      </c>
    </row>
    <row r="146" spans="1:19" ht="16.5" hidden="1" outlineLevel="1" thickBot="1" x14ac:dyDescent="0.3">
      <c r="A146" s="221"/>
      <c r="B146" s="129"/>
      <c r="C146" s="223"/>
      <c r="D146" s="81" t="s">
        <v>1</v>
      </c>
      <c r="E146" s="88">
        <v>2500</v>
      </c>
      <c r="F146" s="88">
        <v>7000</v>
      </c>
      <c r="G146" s="88">
        <v>500</v>
      </c>
      <c r="H146" s="88">
        <v>3000</v>
      </c>
      <c r="I146" s="88">
        <v>8000</v>
      </c>
      <c r="J146" s="88">
        <v>3000</v>
      </c>
      <c r="K146" s="88">
        <v>2000</v>
      </c>
      <c r="L146" s="88">
        <v>4000</v>
      </c>
      <c r="M146" s="88">
        <v>6000</v>
      </c>
      <c r="N146" s="88">
        <v>4000</v>
      </c>
      <c r="O146" s="88">
        <v>5000</v>
      </c>
      <c r="P146" s="88">
        <v>5000</v>
      </c>
      <c r="Q146" s="144">
        <f>SUM(E146:P146)</f>
        <v>50000</v>
      </c>
      <c r="R146" s="304"/>
      <c r="S146" s="109">
        <f>Q146/$Q$230</f>
        <v>3.1247070587132456E-3</v>
      </c>
    </row>
    <row r="147" spans="1:19" ht="15.75" hidden="1" outlineLevel="1" x14ac:dyDescent="0.25">
      <c r="A147" s="220" t="s">
        <v>37</v>
      </c>
      <c r="B147" s="217" t="s">
        <v>12</v>
      </c>
      <c r="C147" s="222" t="s">
        <v>114</v>
      </c>
      <c r="D147" s="77" t="s">
        <v>14</v>
      </c>
      <c r="E147" s="78">
        <v>3999</v>
      </c>
      <c r="F147" s="78">
        <v>6412</v>
      </c>
      <c r="G147" s="79">
        <v>948</v>
      </c>
      <c r="H147" s="80"/>
      <c r="I147" s="80"/>
      <c r="J147" s="80"/>
      <c r="K147" s="80"/>
      <c r="L147" s="80"/>
      <c r="M147" s="80"/>
      <c r="N147" s="80"/>
      <c r="O147" s="80"/>
      <c r="P147" s="80"/>
      <c r="Q147" s="90">
        <f>+SUM(E147:P147)</f>
        <v>11359</v>
      </c>
      <c r="R147" s="303">
        <f>Q147/Q148</f>
        <v>0.22493069306930694</v>
      </c>
      <c r="S147" s="110" t="e">
        <v>#REF!</v>
      </c>
    </row>
    <row r="148" spans="1:19" ht="16.5" hidden="1" outlineLevel="1" thickBot="1" x14ac:dyDescent="0.3">
      <c r="A148" s="221"/>
      <c r="B148" s="129"/>
      <c r="C148" s="223"/>
      <c r="D148" s="81" t="s">
        <v>1</v>
      </c>
      <c r="E148" s="88">
        <v>3000</v>
      </c>
      <c r="F148" s="88">
        <v>3000</v>
      </c>
      <c r="G148" s="88">
        <v>10000</v>
      </c>
      <c r="H148" s="88">
        <v>3000</v>
      </c>
      <c r="I148" s="88">
        <v>10000</v>
      </c>
      <c r="J148" s="88">
        <v>3000</v>
      </c>
      <c r="K148" s="88">
        <v>3000</v>
      </c>
      <c r="L148" s="88">
        <v>3500</v>
      </c>
      <c r="M148" s="88">
        <v>3000</v>
      </c>
      <c r="N148" s="88">
        <v>3000</v>
      </c>
      <c r="O148" s="88">
        <v>3000</v>
      </c>
      <c r="P148" s="88">
        <v>3000</v>
      </c>
      <c r="Q148" s="144">
        <f>SUM(E148:P148)</f>
        <v>50500</v>
      </c>
      <c r="R148" s="304"/>
      <c r="S148" s="109">
        <f>Q148/$Q$230</f>
        <v>3.155954129300378E-3</v>
      </c>
    </row>
    <row r="149" spans="1:19" ht="15.75" hidden="1" outlineLevel="1" x14ac:dyDescent="0.25">
      <c r="A149" s="220" t="s">
        <v>37</v>
      </c>
      <c r="B149" s="217" t="s">
        <v>12</v>
      </c>
      <c r="C149" s="222" t="s">
        <v>134</v>
      </c>
      <c r="D149" s="77" t="s">
        <v>14</v>
      </c>
      <c r="E149" s="78">
        <v>4893</v>
      </c>
      <c r="F149" s="78">
        <v>3623.64</v>
      </c>
      <c r="G149" s="79">
        <v>3745.14</v>
      </c>
      <c r="H149" s="80"/>
      <c r="I149" s="80"/>
      <c r="J149" s="80"/>
      <c r="K149" s="80"/>
      <c r="L149" s="80"/>
      <c r="M149" s="80"/>
      <c r="N149" s="80"/>
      <c r="O149" s="80"/>
      <c r="P149" s="80"/>
      <c r="Q149" s="90">
        <f>+SUM(E149:P149)</f>
        <v>12261.779999999999</v>
      </c>
      <c r="R149" s="303">
        <f>Q149/Q150</f>
        <v>0.24523559999999997</v>
      </c>
      <c r="S149" s="110" t="e">
        <v>#REF!</v>
      </c>
    </row>
    <row r="150" spans="1:19" ht="16.5" hidden="1" outlineLevel="1" thickBot="1" x14ac:dyDescent="0.3">
      <c r="A150" s="221"/>
      <c r="B150" s="129"/>
      <c r="C150" s="223"/>
      <c r="D150" s="81" t="s">
        <v>1</v>
      </c>
      <c r="E150" s="88">
        <v>2500</v>
      </c>
      <c r="F150" s="88">
        <v>5500</v>
      </c>
      <c r="G150" s="88">
        <v>2500</v>
      </c>
      <c r="H150" s="88">
        <v>5500</v>
      </c>
      <c r="I150" s="88">
        <v>5500</v>
      </c>
      <c r="J150" s="88">
        <v>2500</v>
      </c>
      <c r="K150" s="88">
        <v>2500</v>
      </c>
      <c r="L150" s="88">
        <v>5500</v>
      </c>
      <c r="M150" s="88">
        <v>5500</v>
      </c>
      <c r="N150" s="88">
        <v>2500</v>
      </c>
      <c r="O150" s="88">
        <v>5000</v>
      </c>
      <c r="P150" s="88">
        <v>5000</v>
      </c>
      <c r="Q150" s="144">
        <f>SUM(E150:P150)</f>
        <v>50000</v>
      </c>
      <c r="R150" s="304"/>
      <c r="S150" s="109">
        <f>Q150/$Q$230</f>
        <v>3.1247070587132456E-3</v>
      </c>
    </row>
    <row r="151" spans="1:19" ht="15.75" hidden="1" outlineLevel="1" x14ac:dyDescent="0.25">
      <c r="A151" s="220" t="s">
        <v>37</v>
      </c>
      <c r="B151" s="217" t="s">
        <v>12</v>
      </c>
      <c r="C151" s="222" t="s">
        <v>113</v>
      </c>
      <c r="D151" s="77" t="s">
        <v>14</v>
      </c>
      <c r="E151" s="78">
        <v>10811.1</v>
      </c>
      <c r="F151" s="78">
        <v>29357.48</v>
      </c>
      <c r="G151" s="79">
        <v>30492.63</v>
      </c>
      <c r="H151" s="80"/>
      <c r="I151" s="80"/>
      <c r="J151" s="80"/>
      <c r="K151" s="80"/>
      <c r="L151" s="80"/>
      <c r="M151" s="80"/>
      <c r="N151" s="80"/>
      <c r="O151" s="80"/>
      <c r="P151" s="80"/>
      <c r="Q151" s="90">
        <f>+SUM(E151:P151)</f>
        <v>70661.210000000006</v>
      </c>
      <c r="R151" s="303">
        <f>Q151/Q152</f>
        <v>0.7851245555555556</v>
      </c>
      <c r="S151" s="110" t="e">
        <v>#REF!</v>
      </c>
    </row>
    <row r="152" spans="1:19" ht="16.5" hidden="1" outlineLevel="1" thickBot="1" x14ac:dyDescent="0.3">
      <c r="A152" s="221"/>
      <c r="B152" s="129"/>
      <c r="C152" s="223"/>
      <c r="D152" s="81" t="s">
        <v>1</v>
      </c>
      <c r="E152" s="88">
        <v>6000</v>
      </c>
      <c r="F152" s="88">
        <v>10000</v>
      </c>
      <c r="G152" s="88">
        <v>10000</v>
      </c>
      <c r="H152" s="88">
        <v>12500</v>
      </c>
      <c r="I152" s="88">
        <v>10500</v>
      </c>
      <c r="J152" s="88">
        <v>7000</v>
      </c>
      <c r="K152" s="88">
        <v>5000</v>
      </c>
      <c r="L152" s="88">
        <v>5500</v>
      </c>
      <c r="M152" s="88">
        <v>5500</v>
      </c>
      <c r="N152" s="88">
        <v>7000</v>
      </c>
      <c r="O152" s="88">
        <v>5500</v>
      </c>
      <c r="P152" s="88">
        <v>5500</v>
      </c>
      <c r="Q152" s="144">
        <f>SUM(E152:P152)</f>
        <v>90000</v>
      </c>
      <c r="R152" s="304"/>
      <c r="S152" s="109">
        <f>Q152/$Q$230</f>
        <v>5.6244727056838422E-3</v>
      </c>
    </row>
    <row r="153" spans="1:19" ht="15.75" hidden="1" outlineLevel="1" x14ac:dyDescent="0.25">
      <c r="A153" s="220" t="s">
        <v>37</v>
      </c>
      <c r="B153" s="217" t="s">
        <v>12</v>
      </c>
      <c r="C153" s="222" t="s">
        <v>96</v>
      </c>
      <c r="D153" s="77" t="s">
        <v>14</v>
      </c>
      <c r="E153" s="78">
        <v>10140.58</v>
      </c>
      <c r="F153" s="78">
        <v>18469</v>
      </c>
      <c r="G153" s="79">
        <v>8439.5</v>
      </c>
      <c r="H153" s="80"/>
      <c r="I153" s="80"/>
      <c r="J153" s="80"/>
      <c r="K153" s="80"/>
      <c r="L153" s="80"/>
      <c r="M153" s="80"/>
      <c r="N153" s="80"/>
      <c r="O153" s="80"/>
      <c r="P153" s="80"/>
      <c r="Q153" s="90">
        <f>+SUM(E153:P153)</f>
        <v>37049.08</v>
      </c>
      <c r="R153" s="303">
        <f>Q153/Q154</f>
        <v>0.33227874439461885</v>
      </c>
      <c r="S153" s="110" t="e">
        <v>#REF!</v>
      </c>
    </row>
    <row r="154" spans="1:19" ht="16.5" hidden="1" outlineLevel="1" thickBot="1" x14ac:dyDescent="0.3">
      <c r="A154" s="221"/>
      <c r="B154" s="129"/>
      <c r="C154" s="223"/>
      <c r="D154" s="81" t="s">
        <v>1</v>
      </c>
      <c r="E154" s="88">
        <v>9000</v>
      </c>
      <c r="F154" s="88">
        <v>9000</v>
      </c>
      <c r="G154" s="88">
        <v>8500</v>
      </c>
      <c r="H154" s="88">
        <v>8500</v>
      </c>
      <c r="I154" s="88">
        <v>8500</v>
      </c>
      <c r="J154" s="88">
        <v>8500</v>
      </c>
      <c r="K154" s="88">
        <v>5500</v>
      </c>
      <c r="L154" s="88">
        <v>8500</v>
      </c>
      <c r="M154" s="88">
        <v>8500</v>
      </c>
      <c r="N154" s="88">
        <v>8500</v>
      </c>
      <c r="O154" s="88">
        <v>20000</v>
      </c>
      <c r="P154" s="88">
        <v>8500</v>
      </c>
      <c r="Q154" s="144">
        <f>SUM(E154:P154)</f>
        <v>111500</v>
      </c>
      <c r="R154" s="304"/>
      <c r="S154" s="109">
        <f>Q154/$Q$230</f>
        <v>6.9680967409305374E-3</v>
      </c>
    </row>
    <row r="155" spans="1:19" ht="15.75" hidden="1" outlineLevel="1" x14ac:dyDescent="0.25">
      <c r="A155" s="220" t="s">
        <v>37</v>
      </c>
      <c r="B155" s="217" t="s">
        <v>12</v>
      </c>
      <c r="C155" s="222" t="s">
        <v>45</v>
      </c>
      <c r="D155" s="77" t="s">
        <v>14</v>
      </c>
      <c r="E155" s="78">
        <v>23576.29</v>
      </c>
      <c r="F155" s="78">
        <v>34569.47</v>
      </c>
      <c r="G155" s="79">
        <v>24825</v>
      </c>
      <c r="H155" s="80"/>
      <c r="I155" s="80"/>
      <c r="J155" s="80"/>
      <c r="K155" s="80"/>
      <c r="L155" s="80"/>
      <c r="M155" s="80"/>
      <c r="N155" s="80"/>
      <c r="O155" s="80"/>
      <c r="P155" s="80"/>
      <c r="Q155" s="90">
        <f>+SUM(E155:P155)</f>
        <v>82970.760000000009</v>
      </c>
      <c r="R155" s="303">
        <f>Q155/Q156</f>
        <v>0.36074243478260876</v>
      </c>
      <c r="S155" s="110" t="e">
        <v>#REF!</v>
      </c>
    </row>
    <row r="156" spans="1:19" ht="16.5" hidden="1" outlineLevel="1" thickBot="1" x14ac:dyDescent="0.3">
      <c r="A156" s="221"/>
      <c r="B156" s="129"/>
      <c r="C156" s="223"/>
      <c r="D156" s="81" t="s">
        <v>1</v>
      </c>
      <c r="E156" s="88">
        <v>20000</v>
      </c>
      <c r="F156" s="88">
        <v>20000</v>
      </c>
      <c r="G156" s="88">
        <v>20000</v>
      </c>
      <c r="H156" s="88">
        <v>20000</v>
      </c>
      <c r="I156" s="88">
        <v>20000</v>
      </c>
      <c r="J156" s="88">
        <v>20000</v>
      </c>
      <c r="K156" s="88">
        <v>10000</v>
      </c>
      <c r="L156" s="88">
        <v>20000</v>
      </c>
      <c r="M156" s="88">
        <v>20000</v>
      </c>
      <c r="N156" s="88">
        <v>20000</v>
      </c>
      <c r="O156" s="88">
        <v>20000</v>
      </c>
      <c r="P156" s="88">
        <v>20000</v>
      </c>
      <c r="Q156" s="144">
        <f>SUM(E156:P156)</f>
        <v>230000</v>
      </c>
      <c r="R156" s="304"/>
      <c r="S156" s="109">
        <f>Q156/$Q$230</f>
        <v>1.437365247008093E-2</v>
      </c>
    </row>
    <row r="157" spans="1:19" ht="15.75" hidden="1" outlineLevel="1" x14ac:dyDescent="0.25">
      <c r="A157" s="220" t="s">
        <v>37</v>
      </c>
      <c r="B157" s="217" t="s">
        <v>12</v>
      </c>
      <c r="C157" s="222" t="s">
        <v>46</v>
      </c>
      <c r="D157" s="77" t="s">
        <v>14</v>
      </c>
      <c r="E157" s="78">
        <v>14481.54</v>
      </c>
      <c r="F157" s="78">
        <v>14538.941699999999</v>
      </c>
      <c r="G157" s="79">
        <v>14974.169999999998</v>
      </c>
      <c r="H157" s="80"/>
      <c r="I157" s="80"/>
      <c r="J157" s="80"/>
      <c r="K157" s="80"/>
      <c r="L157" s="80"/>
      <c r="M157" s="80"/>
      <c r="N157" s="80"/>
      <c r="O157" s="80"/>
      <c r="P157" s="80"/>
      <c r="Q157" s="90">
        <f>+SUM(E157:P157)</f>
        <v>43994.651700000002</v>
      </c>
      <c r="R157" s="303">
        <f>Q157/Q158</f>
        <v>0.146648839</v>
      </c>
      <c r="S157" s="110" t="e">
        <v>#REF!</v>
      </c>
    </row>
    <row r="158" spans="1:19" ht="16.5" hidden="1" outlineLevel="1" thickBot="1" x14ac:dyDescent="0.3">
      <c r="A158" s="221"/>
      <c r="B158" s="129"/>
      <c r="C158" s="223"/>
      <c r="D158" s="81" t="s">
        <v>1</v>
      </c>
      <c r="E158" s="88">
        <v>25000</v>
      </c>
      <c r="F158" s="88">
        <v>25000</v>
      </c>
      <c r="G158" s="88">
        <v>25000</v>
      </c>
      <c r="H158" s="88">
        <v>25000</v>
      </c>
      <c r="I158" s="88">
        <v>25000</v>
      </c>
      <c r="J158" s="88">
        <v>25000</v>
      </c>
      <c r="K158" s="88">
        <v>25000</v>
      </c>
      <c r="L158" s="88">
        <v>25000</v>
      </c>
      <c r="M158" s="88">
        <v>25000</v>
      </c>
      <c r="N158" s="88">
        <v>25000</v>
      </c>
      <c r="O158" s="88">
        <v>25000</v>
      </c>
      <c r="P158" s="88">
        <v>25000</v>
      </c>
      <c r="Q158" s="144">
        <f>SUM(E158:P158)</f>
        <v>300000</v>
      </c>
      <c r="R158" s="304"/>
      <c r="S158" s="109">
        <f>Q158/$Q$230</f>
        <v>1.8748242352279475E-2</v>
      </c>
    </row>
    <row r="159" spans="1:19" ht="15.75" hidden="1" outlineLevel="1" x14ac:dyDescent="0.25">
      <c r="A159" s="220" t="s">
        <v>37</v>
      </c>
      <c r="B159" s="217" t="s">
        <v>12</v>
      </c>
      <c r="C159" s="222" t="s">
        <v>47</v>
      </c>
      <c r="D159" s="77" t="s">
        <v>14</v>
      </c>
      <c r="E159" s="78">
        <v>14553.46</v>
      </c>
      <c r="F159" s="78">
        <v>9163.5499999999993</v>
      </c>
      <c r="G159" s="79">
        <v>16428.14</v>
      </c>
      <c r="H159" s="80"/>
      <c r="I159" s="80"/>
      <c r="J159" s="80"/>
      <c r="K159" s="80"/>
      <c r="L159" s="80"/>
      <c r="M159" s="80"/>
      <c r="N159" s="80"/>
      <c r="O159" s="80"/>
      <c r="P159" s="80"/>
      <c r="Q159" s="90">
        <f>+SUM(E159:P159)</f>
        <v>40145.149999999994</v>
      </c>
      <c r="R159" s="303">
        <f>Q159/Q160</f>
        <v>0.26763433333333331</v>
      </c>
      <c r="S159" s="110" t="e">
        <v>#REF!</v>
      </c>
    </row>
    <row r="160" spans="1:19" ht="16.5" hidden="1" outlineLevel="1" thickBot="1" x14ac:dyDescent="0.3">
      <c r="A160" s="221"/>
      <c r="B160" s="129"/>
      <c r="C160" s="223"/>
      <c r="D160" s="81" t="s">
        <v>1</v>
      </c>
      <c r="E160" s="88">
        <v>12500</v>
      </c>
      <c r="F160" s="88">
        <v>12500</v>
      </c>
      <c r="G160" s="88">
        <v>12500</v>
      </c>
      <c r="H160" s="88">
        <v>12500</v>
      </c>
      <c r="I160" s="88">
        <v>12500</v>
      </c>
      <c r="J160" s="88">
        <v>12500</v>
      </c>
      <c r="K160" s="88">
        <v>12500</v>
      </c>
      <c r="L160" s="88">
        <v>12500</v>
      </c>
      <c r="M160" s="88">
        <v>12500</v>
      </c>
      <c r="N160" s="88">
        <v>12500</v>
      </c>
      <c r="O160" s="88">
        <v>12500</v>
      </c>
      <c r="P160" s="88">
        <v>12500</v>
      </c>
      <c r="Q160" s="144">
        <f>SUM(E160:P160)</f>
        <v>150000</v>
      </c>
      <c r="R160" s="304"/>
      <c r="S160" s="109">
        <f>Q160/$Q$230</f>
        <v>9.3741211761397374E-3</v>
      </c>
    </row>
    <row r="161" spans="1:20" ht="16.5" hidden="1" outlineLevel="1" thickBot="1" x14ac:dyDescent="0.3">
      <c r="A161" s="220" t="s">
        <v>37</v>
      </c>
      <c r="B161" s="217" t="s">
        <v>12</v>
      </c>
      <c r="C161" s="222" t="s">
        <v>48</v>
      </c>
      <c r="D161" s="77" t="s">
        <v>14</v>
      </c>
      <c r="E161" s="78">
        <v>1282.82</v>
      </c>
      <c r="F161" s="78">
        <v>1220.27</v>
      </c>
      <c r="G161" s="79">
        <v>1860.89</v>
      </c>
      <c r="H161" s="80"/>
      <c r="I161" s="80"/>
      <c r="J161" s="80"/>
      <c r="K161" s="80"/>
      <c r="L161" s="80"/>
      <c r="M161" s="80"/>
      <c r="N161" s="80"/>
      <c r="O161" s="250"/>
      <c r="P161" s="80"/>
      <c r="Q161" s="90">
        <f>+SUM(E161:P161)</f>
        <v>4363.9800000000005</v>
      </c>
      <c r="R161" s="303">
        <f>Q161/Q162</f>
        <v>7.9345090909090921E-2</v>
      </c>
      <c r="S161" s="110" t="e">
        <v>#REF!</v>
      </c>
    </row>
    <row r="162" spans="1:20" ht="16.5" hidden="1" outlineLevel="1" thickBot="1" x14ac:dyDescent="0.3">
      <c r="A162" s="221"/>
      <c r="B162" s="129"/>
      <c r="C162" s="223"/>
      <c r="D162" s="81" t="s">
        <v>1</v>
      </c>
      <c r="E162" s="88">
        <v>1000</v>
      </c>
      <c r="F162" s="88">
        <v>11000</v>
      </c>
      <c r="G162" s="88">
        <v>2000</v>
      </c>
      <c r="H162" s="88">
        <v>8000</v>
      </c>
      <c r="I162" s="88">
        <v>1500</v>
      </c>
      <c r="J162" s="88">
        <v>4000</v>
      </c>
      <c r="K162" s="88">
        <v>1500</v>
      </c>
      <c r="L162" s="88">
        <v>1500</v>
      </c>
      <c r="M162" s="88">
        <v>8000</v>
      </c>
      <c r="N162" s="88">
        <v>7500</v>
      </c>
      <c r="O162" s="249">
        <v>4500</v>
      </c>
      <c r="P162" s="88">
        <v>4500</v>
      </c>
      <c r="Q162" s="144">
        <f>SUM(E162:P162)</f>
        <v>55000</v>
      </c>
      <c r="R162" s="304"/>
      <c r="S162" s="109">
        <f>Q162/$Q$230</f>
        <v>3.4371777645845702E-3</v>
      </c>
    </row>
    <row r="163" spans="1:20" ht="16.5" hidden="1" outlineLevel="1" thickBot="1" x14ac:dyDescent="0.3">
      <c r="A163" s="220" t="s">
        <v>37</v>
      </c>
      <c r="B163" s="217" t="s">
        <v>23</v>
      </c>
      <c r="C163" s="218" t="s">
        <v>49</v>
      </c>
      <c r="D163" s="77" t="s">
        <v>14</v>
      </c>
      <c r="E163" s="78">
        <v>54768.9</v>
      </c>
      <c r="F163" s="78">
        <v>32615.040000000001</v>
      </c>
      <c r="G163" s="79">
        <v>50633.85</v>
      </c>
      <c r="H163" s="80"/>
      <c r="I163" s="80"/>
      <c r="J163" s="80"/>
      <c r="K163" s="80"/>
      <c r="L163" s="80"/>
      <c r="M163" s="80"/>
      <c r="N163" s="80"/>
      <c r="O163" s="80"/>
      <c r="P163" s="80"/>
      <c r="Q163" s="90">
        <f>+SUM(E163:P163)</f>
        <v>138017.79</v>
      </c>
      <c r="R163" s="306">
        <v>0</v>
      </c>
      <c r="S163" s="110" t="e">
        <v>#REF!</v>
      </c>
    </row>
    <row r="164" spans="1:20" ht="15.75" hidden="1" outlineLevel="1" x14ac:dyDescent="0.25">
      <c r="A164" s="221"/>
      <c r="B164" s="129"/>
      <c r="C164" s="219"/>
      <c r="D164" s="84" t="s">
        <v>25</v>
      </c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1">
        <f>SUM(E164:P164)</f>
        <v>0</v>
      </c>
      <c r="R164" s="307"/>
      <c r="S164" s="110" t="e">
        <v>#DIV/0!</v>
      </c>
    </row>
    <row r="165" spans="1:20" ht="16.5" hidden="1" outlineLevel="1" thickBot="1" x14ac:dyDescent="0.3">
      <c r="A165" s="221"/>
      <c r="B165" s="129"/>
      <c r="C165" s="219"/>
      <c r="D165" s="81" t="s">
        <v>1</v>
      </c>
      <c r="E165" s="95">
        <v>45000</v>
      </c>
      <c r="F165" s="88">
        <v>50000</v>
      </c>
      <c r="G165" s="88">
        <v>50000</v>
      </c>
      <c r="H165" s="88">
        <v>50000</v>
      </c>
      <c r="I165" s="88">
        <v>50000</v>
      </c>
      <c r="J165" s="88">
        <v>50000</v>
      </c>
      <c r="K165" s="88">
        <v>45000</v>
      </c>
      <c r="L165" s="88">
        <v>50000</v>
      </c>
      <c r="M165" s="88">
        <v>55000</v>
      </c>
      <c r="N165" s="88">
        <v>50000</v>
      </c>
      <c r="O165" s="88">
        <v>50000</v>
      </c>
      <c r="P165" s="88">
        <v>55000</v>
      </c>
      <c r="Q165" s="92">
        <f>SUM(E165:P165)</f>
        <v>600000</v>
      </c>
      <c r="R165" s="307"/>
      <c r="S165" s="109">
        <f>Q165/$Q$230</f>
        <v>3.7496484704558949E-2</v>
      </c>
    </row>
    <row r="166" spans="1:20" ht="17.25" collapsed="1" thickTop="1" thickBot="1" x14ac:dyDescent="0.25">
      <c r="A166" s="230" t="s">
        <v>37</v>
      </c>
      <c r="B166" s="232" t="s">
        <v>0</v>
      </c>
      <c r="C166" s="230" t="s">
        <v>0</v>
      </c>
      <c r="D166" s="56" t="s">
        <v>14</v>
      </c>
      <c r="E166" s="37">
        <f t="shared" ref="E166:Q166" si="15">SUM(E163,E161,E159,E157,E155,E153,E151,E149,E147,E145,E143,E141,E139,E137,E135,E133,E131,E129,E127,E125,E123,E119,E117,E164,E121)</f>
        <v>296046.94</v>
      </c>
      <c r="F166" s="37">
        <v>260760.8217</v>
      </c>
      <c r="G166" s="37">
        <f t="shared" si="15"/>
        <v>273964.54340000002</v>
      </c>
      <c r="H166" s="37">
        <f t="shared" si="15"/>
        <v>0</v>
      </c>
      <c r="I166" s="37">
        <f t="shared" si="15"/>
        <v>0</v>
      </c>
      <c r="J166" s="37">
        <f t="shared" si="15"/>
        <v>0</v>
      </c>
      <c r="K166" s="37">
        <f t="shared" si="15"/>
        <v>0</v>
      </c>
      <c r="L166" s="37">
        <f t="shared" si="15"/>
        <v>0</v>
      </c>
      <c r="M166" s="37">
        <f t="shared" si="15"/>
        <v>0</v>
      </c>
      <c r="N166" s="37">
        <f t="shared" si="15"/>
        <v>0</v>
      </c>
      <c r="O166" s="37">
        <f t="shared" si="15"/>
        <v>0</v>
      </c>
      <c r="P166" s="37">
        <f t="shared" si="15"/>
        <v>0</v>
      </c>
      <c r="Q166" s="37">
        <f t="shared" si="15"/>
        <v>830772.3051</v>
      </c>
      <c r="R166" s="308">
        <f>Q166/Q167</f>
        <v>0.24484889628647213</v>
      </c>
      <c r="S166" s="110" t="e">
        <v>#DIV/0!</v>
      </c>
      <c r="T166" s="130"/>
    </row>
    <row r="167" spans="1:20" ht="17.25" thickTop="1" thickBot="1" x14ac:dyDescent="0.3">
      <c r="A167" s="231"/>
      <c r="B167" s="233"/>
      <c r="C167" s="231"/>
      <c r="D167" s="64" t="s">
        <v>1</v>
      </c>
      <c r="E167" s="11">
        <f t="shared" ref="E167:Q167" si="16">SUM(E165,E162,E160,E158,E156,E154,E152,E150,E148,E146,E144,E142,E140,E138,E136,E134,E132,E130,E128,E126,E124,E122,E120,E118)</f>
        <v>273000</v>
      </c>
      <c r="F167" s="11">
        <v>298000</v>
      </c>
      <c r="G167" s="11">
        <f t="shared" si="16"/>
        <v>296000</v>
      </c>
      <c r="H167" s="11">
        <f t="shared" si="16"/>
        <v>287000</v>
      </c>
      <c r="I167" s="11">
        <f t="shared" si="16"/>
        <v>301500</v>
      </c>
      <c r="J167" s="11">
        <f t="shared" si="16"/>
        <v>255000</v>
      </c>
      <c r="K167" s="11">
        <f t="shared" si="16"/>
        <v>238000</v>
      </c>
      <c r="L167" s="11">
        <f t="shared" si="16"/>
        <v>272500</v>
      </c>
      <c r="M167" s="11">
        <f t="shared" si="16"/>
        <v>282500</v>
      </c>
      <c r="N167" s="11">
        <f t="shared" si="16"/>
        <v>291000</v>
      </c>
      <c r="O167" s="11">
        <f t="shared" si="16"/>
        <v>291000</v>
      </c>
      <c r="P167" s="11">
        <f t="shared" si="16"/>
        <v>307500</v>
      </c>
      <c r="Q167" s="11">
        <f t="shared" si="16"/>
        <v>3393000</v>
      </c>
      <c r="R167" s="308"/>
      <c r="S167" s="109">
        <f>Q167/$Q$230</f>
        <v>0.21204262100428084</v>
      </c>
    </row>
    <row r="168" spans="1:20" ht="17.25" thickTop="1" thickBot="1" x14ac:dyDescent="0.3">
      <c r="A168" s="231"/>
      <c r="B168" s="233"/>
      <c r="C168" s="231"/>
      <c r="D168" s="57" t="s">
        <v>2</v>
      </c>
      <c r="E168" s="8">
        <f t="shared" ref="E168:P168" si="17">E166/E167</f>
        <v>1.0844210256410256</v>
      </c>
      <c r="F168" s="8">
        <v>0.87503631442953023</v>
      </c>
      <c r="G168" s="8">
        <f t="shared" si="17"/>
        <v>0.92555588986486492</v>
      </c>
      <c r="H168" s="8">
        <f t="shared" si="17"/>
        <v>0</v>
      </c>
      <c r="I168" s="8">
        <f t="shared" si="17"/>
        <v>0</v>
      </c>
      <c r="J168" s="8">
        <f t="shared" si="17"/>
        <v>0</v>
      </c>
      <c r="K168" s="8">
        <f t="shared" si="17"/>
        <v>0</v>
      </c>
      <c r="L168" s="8">
        <f t="shared" si="17"/>
        <v>0</v>
      </c>
      <c r="M168" s="8">
        <f t="shared" si="17"/>
        <v>0</v>
      </c>
      <c r="N168" s="8">
        <f t="shared" si="17"/>
        <v>0</v>
      </c>
      <c r="O168" s="8">
        <f t="shared" si="17"/>
        <v>0</v>
      </c>
      <c r="P168" s="136">
        <f t="shared" si="17"/>
        <v>0</v>
      </c>
      <c r="Q168" s="46">
        <f>Q166/Q167</f>
        <v>0.24484889628647213</v>
      </c>
      <c r="R168" s="308"/>
      <c r="S168" s="103"/>
    </row>
    <row r="169" spans="1:20" ht="17.25" thickTop="1" thickBot="1" x14ac:dyDescent="0.3">
      <c r="A169" s="231"/>
      <c r="B169" s="233"/>
      <c r="C169" s="231"/>
      <c r="D169" s="68" t="s">
        <v>3</v>
      </c>
      <c r="E169" s="10">
        <f t="shared" ref="E169:P169" si="18">E166-E167</f>
        <v>23046.940000000002</v>
      </c>
      <c r="F169" s="10">
        <v>-37239.1783</v>
      </c>
      <c r="G169" s="10">
        <f t="shared" si="18"/>
        <v>-22035.456599999976</v>
      </c>
      <c r="H169" s="10">
        <f t="shared" si="18"/>
        <v>-287000</v>
      </c>
      <c r="I169" s="10">
        <f t="shared" si="18"/>
        <v>-301500</v>
      </c>
      <c r="J169" s="10">
        <f t="shared" si="18"/>
        <v>-255000</v>
      </c>
      <c r="K169" s="10">
        <f t="shared" si="18"/>
        <v>-238000</v>
      </c>
      <c r="L169" s="10">
        <f t="shared" si="18"/>
        <v>-272500</v>
      </c>
      <c r="M169" s="10">
        <f t="shared" si="18"/>
        <v>-282500</v>
      </c>
      <c r="N169" s="10">
        <f t="shared" si="18"/>
        <v>-291000</v>
      </c>
      <c r="O169" s="10">
        <f t="shared" si="18"/>
        <v>-291000</v>
      </c>
      <c r="P169" s="10">
        <f t="shared" si="18"/>
        <v>-307500</v>
      </c>
      <c r="Q169" s="49">
        <f>Q166-Q167</f>
        <v>-2562227.6949</v>
      </c>
      <c r="R169" s="308"/>
      <c r="S169" s="104"/>
    </row>
    <row r="170" spans="1:20" ht="16.5" thickBot="1" x14ac:dyDescent="0.3">
      <c r="A170" s="231"/>
      <c r="B170" s="233"/>
      <c r="C170" s="231"/>
      <c r="D170" s="66" t="s">
        <v>4</v>
      </c>
      <c r="E170" s="9">
        <f t="shared" ref="E170:P170" si="19">E169/E166</f>
        <v>7.7848938414968927E-2</v>
      </c>
      <c r="F170" s="9">
        <v>-0.14280971373392479</v>
      </c>
      <c r="G170" s="9">
        <f t="shared" si="19"/>
        <v>-8.0431782618772166E-2</v>
      </c>
      <c r="H170" s="9" t="e">
        <f t="shared" si="19"/>
        <v>#DIV/0!</v>
      </c>
      <c r="I170" s="9" t="e">
        <f t="shared" si="19"/>
        <v>#DIV/0!</v>
      </c>
      <c r="J170" s="9" t="e">
        <f t="shared" si="19"/>
        <v>#DIV/0!</v>
      </c>
      <c r="K170" s="9" t="e">
        <f t="shared" si="19"/>
        <v>#DIV/0!</v>
      </c>
      <c r="L170" s="9" t="e">
        <f t="shared" si="19"/>
        <v>#DIV/0!</v>
      </c>
      <c r="M170" s="9" t="e">
        <f t="shared" si="19"/>
        <v>#DIV/0!</v>
      </c>
      <c r="N170" s="9" t="e">
        <f t="shared" si="19"/>
        <v>#DIV/0!</v>
      </c>
      <c r="O170" s="9" t="e">
        <f t="shared" si="19"/>
        <v>#DIV/0!</v>
      </c>
      <c r="P170" s="9" t="e">
        <f t="shared" si="19"/>
        <v>#DIV/0!</v>
      </c>
      <c r="Q170" s="48">
        <f>Q169/Q166</f>
        <v>-3.0841515529234993</v>
      </c>
      <c r="R170" s="18"/>
      <c r="S170" s="105"/>
    </row>
    <row r="171" spans="1:20" ht="15.75" thickBot="1" x14ac:dyDescent="0.25">
      <c r="A171" s="6"/>
      <c r="B171" s="6"/>
      <c r="C171" s="75"/>
      <c r="D171" s="67" t="s">
        <v>26</v>
      </c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40"/>
      <c r="Q171" s="67"/>
      <c r="R171" s="36"/>
      <c r="S171" s="106"/>
    </row>
    <row r="172" spans="1:20" ht="15.75" hidden="1" outlineLevel="1" x14ac:dyDescent="0.25">
      <c r="A172" s="224" t="s">
        <v>50</v>
      </c>
      <c r="B172" s="217" t="s">
        <v>12</v>
      </c>
      <c r="C172" s="226" t="s">
        <v>52</v>
      </c>
      <c r="D172" s="77" t="s">
        <v>14</v>
      </c>
      <c r="E172" s="78">
        <v>57461</v>
      </c>
      <c r="F172" s="78">
        <v>19703</v>
      </c>
      <c r="G172" s="79">
        <v>18574</v>
      </c>
      <c r="H172" s="80"/>
      <c r="I172" s="80"/>
      <c r="J172" s="80"/>
      <c r="K172" s="80"/>
      <c r="L172" s="80"/>
      <c r="M172" s="80"/>
      <c r="N172" s="80"/>
      <c r="O172" s="80"/>
      <c r="P172" s="80"/>
      <c r="Q172" s="90">
        <f>+SUM(E172:P172)</f>
        <v>95738</v>
      </c>
      <c r="R172" s="303">
        <f>Q172/Q173</f>
        <v>0.22526588235294118</v>
      </c>
      <c r="S172" s="110">
        <v>0</v>
      </c>
    </row>
    <row r="173" spans="1:20" ht="16.5" hidden="1" outlineLevel="1" thickBot="1" x14ac:dyDescent="0.3">
      <c r="A173" s="225"/>
      <c r="B173" s="129"/>
      <c r="C173" s="227"/>
      <c r="D173" s="81" t="s">
        <v>1</v>
      </c>
      <c r="E173" s="88">
        <v>20000</v>
      </c>
      <c r="F173" s="88">
        <v>45000</v>
      </c>
      <c r="G173" s="88">
        <v>35000</v>
      </c>
      <c r="H173" s="88">
        <v>25000</v>
      </c>
      <c r="I173" s="88">
        <v>40000</v>
      </c>
      <c r="J173" s="88">
        <v>40000</v>
      </c>
      <c r="K173" s="88">
        <v>30000</v>
      </c>
      <c r="L173" s="88">
        <v>30000</v>
      </c>
      <c r="M173" s="88">
        <v>45000</v>
      </c>
      <c r="N173" s="88">
        <v>35000</v>
      </c>
      <c r="O173" s="88">
        <v>45000</v>
      </c>
      <c r="P173" s="88">
        <v>35000</v>
      </c>
      <c r="Q173" s="144">
        <f>SUM(E173:P173)</f>
        <v>425000</v>
      </c>
      <c r="R173" s="304"/>
      <c r="S173" s="109">
        <f>Q173/$Q$230</f>
        <v>2.6560009999062589E-2</v>
      </c>
    </row>
    <row r="174" spans="1:20" ht="15.75" hidden="1" outlineLevel="1" x14ac:dyDescent="0.25">
      <c r="A174" s="224" t="s">
        <v>50</v>
      </c>
      <c r="B174" s="217" t="s">
        <v>12</v>
      </c>
      <c r="C174" s="226" t="s">
        <v>53</v>
      </c>
      <c r="D174" s="77" t="s">
        <v>14</v>
      </c>
      <c r="E174" s="125">
        <v>118686.77</v>
      </c>
      <c r="F174" s="78">
        <v>49118.570099999997</v>
      </c>
      <c r="G174" s="79">
        <v>30806.995999999999</v>
      </c>
      <c r="H174" s="80"/>
      <c r="I174" s="80"/>
      <c r="J174" s="80"/>
      <c r="K174" s="80"/>
      <c r="L174" s="80"/>
      <c r="M174" s="80"/>
      <c r="N174" s="80"/>
      <c r="O174" s="80"/>
      <c r="P174" s="80"/>
      <c r="Q174" s="90">
        <f>+SUM(E174:P174)</f>
        <v>198612.33610000001</v>
      </c>
      <c r="R174" s="303">
        <f>Q174/Q175</f>
        <v>0.13240822406666666</v>
      </c>
      <c r="S174" s="110">
        <v>0</v>
      </c>
    </row>
    <row r="175" spans="1:20" ht="16.5" hidden="1" outlineLevel="1" thickBot="1" x14ac:dyDescent="0.3">
      <c r="A175" s="225"/>
      <c r="B175" s="129"/>
      <c r="C175" s="227"/>
      <c r="D175" s="81" t="s">
        <v>1</v>
      </c>
      <c r="E175" s="88">
        <v>120000</v>
      </c>
      <c r="F175" s="88">
        <v>70000</v>
      </c>
      <c r="G175" s="88">
        <v>30000</v>
      </c>
      <c r="H175" s="88">
        <v>50000</v>
      </c>
      <c r="I175" s="88">
        <v>40000</v>
      </c>
      <c r="J175" s="88">
        <v>50000</v>
      </c>
      <c r="K175" s="88">
        <v>180000</v>
      </c>
      <c r="L175" s="88">
        <v>185000</v>
      </c>
      <c r="M175" s="88">
        <v>250000</v>
      </c>
      <c r="N175" s="88">
        <v>225000</v>
      </c>
      <c r="O175" s="88">
        <v>150000</v>
      </c>
      <c r="P175" s="88">
        <v>150000</v>
      </c>
      <c r="Q175" s="144">
        <f>SUM(E175:P175)</f>
        <v>1500000</v>
      </c>
      <c r="R175" s="304"/>
      <c r="S175" s="109">
        <f>Q175/$Q$230</f>
        <v>9.3741211761397367E-2</v>
      </c>
    </row>
    <row r="176" spans="1:20" ht="15.75" hidden="1" outlineLevel="1" x14ac:dyDescent="0.25">
      <c r="A176" s="224" t="s">
        <v>50</v>
      </c>
      <c r="B176" s="217" t="s">
        <v>12</v>
      </c>
      <c r="C176" s="226" t="s">
        <v>112</v>
      </c>
      <c r="D176" s="77" t="s">
        <v>14</v>
      </c>
      <c r="E176" s="78">
        <v>6988</v>
      </c>
      <c r="F176" s="78">
        <v>7250</v>
      </c>
      <c r="G176" s="79">
        <v>5225.3635999999997</v>
      </c>
      <c r="H176" s="80"/>
      <c r="I176" s="80"/>
      <c r="J176" s="80"/>
      <c r="K176" s="80"/>
      <c r="L176" s="80"/>
      <c r="M176" s="80"/>
      <c r="N176" s="80"/>
      <c r="O176" s="80"/>
      <c r="P176" s="80"/>
      <c r="Q176" s="90">
        <f>+SUM(E176:P176)</f>
        <v>19463.363600000001</v>
      </c>
      <c r="R176" s="303">
        <f>Q176/Q177</f>
        <v>6.4877878666666666E-2</v>
      </c>
      <c r="S176" s="110">
        <v>0</v>
      </c>
    </row>
    <row r="177" spans="1:20" ht="16.5" hidden="1" outlineLevel="1" thickBot="1" x14ac:dyDescent="0.3">
      <c r="A177" s="225"/>
      <c r="B177" s="129"/>
      <c r="C177" s="227"/>
      <c r="D177" s="81" t="s">
        <v>1</v>
      </c>
      <c r="E177" s="101">
        <v>25000</v>
      </c>
      <c r="F177" s="101">
        <v>25000</v>
      </c>
      <c r="G177" s="101">
        <v>25000</v>
      </c>
      <c r="H177" s="101">
        <v>25000</v>
      </c>
      <c r="I177" s="101">
        <v>25000</v>
      </c>
      <c r="J177" s="101">
        <v>25000</v>
      </c>
      <c r="K177" s="101">
        <v>25000</v>
      </c>
      <c r="L177" s="101">
        <v>25000</v>
      </c>
      <c r="M177" s="101">
        <v>25000</v>
      </c>
      <c r="N177" s="101">
        <v>25000</v>
      </c>
      <c r="O177" s="101">
        <v>25000</v>
      </c>
      <c r="P177" s="101">
        <v>25000</v>
      </c>
      <c r="Q177" s="144">
        <f>SUM(E177:P177)</f>
        <v>300000</v>
      </c>
      <c r="R177" s="304"/>
      <c r="S177" s="109">
        <f>Q177/$Q$230</f>
        <v>1.8748242352279475E-2</v>
      </c>
    </row>
    <row r="178" spans="1:20" ht="15.75" hidden="1" outlineLevel="1" x14ac:dyDescent="0.25">
      <c r="A178" s="224" t="s">
        <v>50</v>
      </c>
      <c r="B178" s="217" t="s">
        <v>12</v>
      </c>
      <c r="C178" s="226" t="s">
        <v>71</v>
      </c>
      <c r="D178" s="77" t="s">
        <v>14</v>
      </c>
      <c r="E178" s="78"/>
      <c r="F178" s="78"/>
      <c r="G178" s="79">
        <v>514</v>
      </c>
      <c r="H178" s="80"/>
      <c r="I178" s="80"/>
      <c r="J178" s="80"/>
      <c r="K178" s="80"/>
      <c r="L178" s="80"/>
      <c r="M178" s="80"/>
      <c r="N178" s="80"/>
      <c r="O178" s="80"/>
      <c r="P178" s="80"/>
      <c r="Q178" s="90">
        <f>+SUM(E178:P178)</f>
        <v>514</v>
      </c>
      <c r="R178" s="303">
        <f>Q178/Q179</f>
        <v>3.4266666666666668E-3</v>
      </c>
      <c r="S178" s="110">
        <v>0</v>
      </c>
    </row>
    <row r="179" spans="1:20" ht="16.5" hidden="1" outlineLevel="1" thickBot="1" x14ac:dyDescent="0.3">
      <c r="A179" s="225"/>
      <c r="B179" s="129"/>
      <c r="C179" s="227"/>
      <c r="D179" s="81" t="s">
        <v>1</v>
      </c>
      <c r="E179" s="88">
        <v>25000</v>
      </c>
      <c r="F179" s="88">
        <v>25000</v>
      </c>
      <c r="G179" s="88">
        <v>5000</v>
      </c>
      <c r="H179" s="88">
        <v>10000</v>
      </c>
      <c r="I179" s="88">
        <v>10000</v>
      </c>
      <c r="J179" s="88">
        <v>10000</v>
      </c>
      <c r="K179" s="88">
        <v>11000</v>
      </c>
      <c r="L179" s="88">
        <v>12000</v>
      </c>
      <c r="M179" s="88">
        <v>12000</v>
      </c>
      <c r="N179" s="88">
        <v>10000</v>
      </c>
      <c r="O179" s="88">
        <v>8000</v>
      </c>
      <c r="P179" s="88">
        <v>12000</v>
      </c>
      <c r="Q179" s="144">
        <f>SUM(E179:P179)</f>
        <v>150000</v>
      </c>
      <c r="R179" s="304"/>
      <c r="S179" s="109">
        <f>Q179/$Q$230</f>
        <v>9.3741211761397374E-3</v>
      </c>
    </row>
    <row r="180" spans="1:20" ht="16.5" hidden="1" outlineLevel="1" thickBot="1" x14ac:dyDescent="0.3">
      <c r="A180" s="217" t="s">
        <v>50</v>
      </c>
      <c r="B180" s="217" t="s">
        <v>36</v>
      </c>
      <c r="C180" s="218" t="s">
        <v>56</v>
      </c>
      <c r="D180" s="77" t="s">
        <v>14</v>
      </c>
      <c r="E180" s="78">
        <v>-5794</v>
      </c>
      <c r="F180" s="78">
        <v>1575.5</v>
      </c>
      <c r="G180" s="79">
        <v>577.12</v>
      </c>
      <c r="H180" s="78"/>
      <c r="I180" s="78"/>
      <c r="J180" s="78"/>
      <c r="K180" s="78"/>
      <c r="L180" s="78"/>
      <c r="M180" s="78"/>
      <c r="N180" s="248"/>
      <c r="O180" s="78"/>
      <c r="P180" s="78"/>
      <c r="Q180" s="90">
        <f>+SUM(E180:P180)</f>
        <v>-3641.38</v>
      </c>
      <c r="R180" s="312" t="e">
        <f>Q180/Q181</f>
        <v>#DIV/0!</v>
      </c>
      <c r="S180" s="110">
        <v>0</v>
      </c>
    </row>
    <row r="181" spans="1:20" ht="15.75" hidden="1" outlineLevel="1" x14ac:dyDescent="0.25">
      <c r="A181" s="129"/>
      <c r="B181" s="129"/>
      <c r="C181" s="219"/>
      <c r="D181" s="84" t="s">
        <v>25</v>
      </c>
      <c r="E181" s="147"/>
      <c r="F181" s="147"/>
      <c r="G181" s="147"/>
      <c r="H181" s="147"/>
      <c r="I181" s="147"/>
      <c r="J181" s="147"/>
      <c r="K181" s="147"/>
      <c r="L181" s="147"/>
      <c r="M181" s="147"/>
      <c r="N181" s="247"/>
      <c r="O181" s="147"/>
      <c r="P181" s="147"/>
      <c r="Q181" s="91">
        <f>SUM(E181:P181)</f>
        <v>0</v>
      </c>
      <c r="R181" s="313"/>
      <c r="S181" s="109">
        <f>Q181/$Q$230</f>
        <v>0</v>
      </c>
    </row>
    <row r="182" spans="1:20" ht="16.5" hidden="1" outlineLevel="1" thickBot="1" x14ac:dyDescent="0.3">
      <c r="A182" s="129"/>
      <c r="B182" s="129"/>
      <c r="C182" s="219"/>
      <c r="D182" s="81" t="s">
        <v>1</v>
      </c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92">
        <f>SUM(E182:P182)</f>
        <v>0</v>
      </c>
      <c r="R182" s="313"/>
      <c r="S182" s="127"/>
    </row>
    <row r="183" spans="1:20" ht="16.5" collapsed="1" thickBot="1" x14ac:dyDescent="0.25">
      <c r="A183" s="230" t="s">
        <v>50</v>
      </c>
      <c r="B183" s="232" t="s">
        <v>0</v>
      </c>
      <c r="C183" s="230" t="s">
        <v>0</v>
      </c>
      <c r="D183" s="56" t="s">
        <v>14</v>
      </c>
      <c r="E183" s="89">
        <f t="shared" ref="E183:Q183" si="20">E180+E178+E176+E174+E172+E89+E181</f>
        <v>180699.27000000002</v>
      </c>
      <c r="F183" s="89">
        <v>83114.320099999997</v>
      </c>
      <c r="G183" s="89">
        <f t="shared" si="20"/>
        <v>58931.479599999999</v>
      </c>
      <c r="H183" s="89">
        <f t="shared" si="20"/>
        <v>0</v>
      </c>
      <c r="I183" s="89">
        <f t="shared" si="20"/>
        <v>0</v>
      </c>
      <c r="J183" s="89">
        <f t="shared" si="20"/>
        <v>0</v>
      </c>
      <c r="K183" s="89">
        <f t="shared" si="20"/>
        <v>0</v>
      </c>
      <c r="L183" s="89">
        <f t="shared" si="20"/>
        <v>0</v>
      </c>
      <c r="M183" s="89">
        <f t="shared" si="20"/>
        <v>0</v>
      </c>
      <c r="N183" s="89">
        <f t="shared" si="20"/>
        <v>0</v>
      </c>
      <c r="O183" s="89">
        <f t="shared" si="20"/>
        <v>0</v>
      </c>
      <c r="P183" s="89">
        <f t="shared" si="20"/>
        <v>0</v>
      </c>
      <c r="Q183" s="89">
        <f t="shared" si="20"/>
        <v>322745.06969999999</v>
      </c>
      <c r="R183" s="311">
        <f>Q183/Q184</f>
        <v>0.1358926609263158</v>
      </c>
      <c r="S183" s="111" t="e">
        <v>#DIV/0!</v>
      </c>
      <c r="T183" s="130"/>
    </row>
    <row r="184" spans="1:20" ht="17.25" thickTop="1" thickBot="1" x14ac:dyDescent="0.3">
      <c r="A184" s="231"/>
      <c r="B184" s="233"/>
      <c r="C184" s="231"/>
      <c r="D184" s="64" t="s">
        <v>1</v>
      </c>
      <c r="E184" s="7">
        <f t="shared" ref="E184:Q184" si="21">E182+E179+E177+E175+E173</f>
        <v>190000</v>
      </c>
      <c r="F184" s="7">
        <v>165000</v>
      </c>
      <c r="G184" s="7">
        <f t="shared" si="21"/>
        <v>95000</v>
      </c>
      <c r="H184" s="7">
        <f t="shared" si="21"/>
        <v>110000</v>
      </c>
      <c r="I184" s="7">
        <f t="shared" si="21"/>
        <v>115000</v>
      </c>
      <c r="J184" s="7">
        <f t="shared" si="21"/>
        <v>125000</v>
      </c>
      <c r="K184" s="7">
        <f t="shared" si="21"/>
        <v>246000</v>
      </c>
      <c r="L184" s="7">
        <f t="shared" si="21"/>
        <v>252000</v>
      </c>
      <c r="M184" s="7">
        <f t="shared" si="21"/>
        <v>332000</v>
      </c>
      <c r="N184" s="7">
        <f t="shared" si="21"/>
        <v>295000</v>
      </c>
      <c r="O184" s="7">
        <f t="shared" si="21"/>
        <v>228000</v>
      </c>
      <c r="P184" s="7">
        <f t="shared" si="21"/>
        <v>222000</v>
      </c>
      <c r="Q184" s="7">
        <f t="shared" si="21"/>
        <v>2375000</v>
      </c>
      <c r="R184" s="308"/>
      <c r="S184" s="109">
        <f>Q184/$Q$230</f>
        <v>0.14842358528887917</v>
      </c>
    </row>
    <row r="185" spans="1:20" ht="17.25" thickTop="1" thickBot="1" x14ac:dyDescent="0.3">
      <c r="A185" s="231"/>
      <c r="B185" s="233"/>
      <c r="C185" s="231"/>
      <c r="D185" s="57" t="s">
        <v>2</v>
      </c>
      <c r="E185" s="8">
        <f>E183/E184</f>
        <v>0.95104878947368432</v>
      </c>
      <c r="F185" s="8">
        <v>0.5037231521212121</v>
      </c>
      <c r="G185" s="8">
        <f t="shared" ref="G185:P185" si="22">G183/G184</f>
        <v>0.62033136421052626</v>
      </c>
      <c r="H185" s="8">
        <f t="shared" si="22"/>
        <v>0</v>
      </c>
      <c r="I185" s="8">
        <f t="shared" si="22"/>
        <v>0</v>
      </c>
      <c r="J185" s="8">
        <f t="shared" si="22"/>
        <v>0</v>
      </c>
      <c r="K185" s="8">
        <f t="shared" si="22"/>
        <v>0</v>
      </c>
      <c r="L185" s="8">
        <f t="shared" si="22"/>
        <v>0</v>
      </c>
      <c r="M185" s="8">
        <f t="shared" si="22"/>
        <v>0</v>
      </c>
      <c r="N185" s="8">
        <f t="shared" si="22"/>
        <v>0</v>
      </c>
      <c r="O185" s="8">
        <f t="shared" si="22"/>
        <v>0</v>
      </c>
      <c r="P185" s="8">
        <f t="shared" si="22"/>
        <v>0</v>
      </c>
      <c r="Q185" s="46">
        <f>Q183/Q184</f>
        <v>0.1358926609263158</v>
      </c>
      <c r="R185" s="308"/>
      <c r="S185" s="103"/>
    </row>
    <row r="186" spans="1:20" ht="17.25" thickTop="1" thickBot="1" x14ac:dyDescent="0.3">
      <c r="A186" s="231"/>
      <c r="B186" s="233"/>
      <c r="C186" s="231"/>
      <c r="D186" s="65" t="s">
        <v>3</v>
      </c>
      <c r="E186" s="10">
        <f t="shared" ref="E186:P186" si="23">E183-E184</f>
        <v>-9300.7299999999814</v>
      </c>
      <c r="F186" s="10">
        <v>-81885.679900000003</v>
      </c>
      <c r="G186" s="10">
        <f t="shared" si="23"/>
        <v>-36068.520400000001</v>
      </c>
      <c r="H186" s="10">
        <f t="shared" si="23"/>
        <v>-110000</v>
      </c>
      <c r="I186" s="10">
        <f t="shared" si="23"/>
        <v>-115000</v>
      </c>
      <c r="J186" s="10">
        <f t="shared" si="23"/>
        <v>-125000</v>
      </c>
      <c r="K186" s="10">
        <f t="shared" si="23"/>
        <v>-246000</v>
      </c>
      <c r="L186" s="10">
        <f t="shared" si="23"/>
        <v>-252000</v>
      </c>
      <c r="M186" s="10">
        <f t="shared" si="23"/>
        <v>-332000</v>
      </c>
      <c r="N186" s="10">
        <f t="shared" si="23"/>
        <v>-295000</v>
      </c>
      <c r="O186" s="10">
        <f t="shared" si="23"/>
        <v>-228000</v>
      </c>
      <c r="P186" s="10">
        <f t="shared" si="23"/>
        <v>-222000</v>
      </c>
      <c r="Q186" s="47">
        <f>Q183-Q184</f>
        <v>-2052254.9303000001</v>
      </c>
      <c r="R186" s="308"/>
      <c r="S186" s="104"/>
    </row>
    <row r="187" spans="1:20" ht="16.5" thickBot="1" x14ac:dyDescent="0.3">
      <c r="A187" s="231"/>
      <c r="B187" s="233"/>
      <c r="C187" s="231"/>
      <c r="D187" s="66" t="s">
        <v>4</v>
      </c>
      <c r="E187" s="9">
        <f t="shared" ref="E187:P187" si="24">E186/E183</f>
        <v>-5.1470766871387914E-2</v>
      </c>
      <c r="F187" s="9">
        <v>-0.98521746675516642</v>
      </c>
      <c r="G187" s="9">
        <f t="shared" si="24"/>
        <v>-0.6120416565953658</v>
      </c>
      <c r="H187" s="9" t="e">
        <f t="shared" si="24"/>
        <v>#DIV/0!</v>
      </c>
      <c r="I187" s="9" t="e">
        <f t="shared" si="24"/>
        <v>#DIV/0!</v>
      </c>
      <c r="J187" s="9" t="e">
        <f t="shared" si="24"/>
        <v>#DIV/0!</v>
      </c>
      <c r="K187" s="9" t="e">
        <f t="shared" si="24"/>
        <v>#DIV/0!</v>
      </c>
      <c r="L187" s="9" t="e">
        <f t="shared" si="24"/>
        <v>#DIV/0!</v>
      </c>
      <c r="M187" s="9" t="e">
        <f t="shared" si="24"/>
        <v>#DIV/0!</v>
      </c>
      <c r="N187" s="9" t="e">
        <f t="shared" si="24"/>
        <v>#DIV/0!</v>
      </c>
      <c r="O187" s="9" t="e">
        <f t="shared" si="24"/>
        <v>#DIV/0!</v>
      </c>
      <c r="P187" s="9" t="e">
        <f t="shared" si="24"/>
        <v>#DIV/0!</v>
      </c>
      <c r="Q187" s="48">
        <f>Q186/Q183</f>
        <v>-6.3587491273147094</v>
      </c>
      <c r="R187" s="18"/>
      <c r="S187" s="105"/>
    </row>
    <row r="188" spans="1:20" ht="15.75" thickBot="1" x14ac:dyDescent="0.25">
      <c r="A188" s="6"/>
      <c r="B188" s="6"/>
      <c r="C188" s="75"/>
      <c r="D188" s="67" t="s">
        <v>26</v>
      </c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40"/>
      <c r="Q188" s="67"/>
      <c r="R188" s="36"/>
      <c r="S188" s="106"/>
    </row>
    <row r="189" spans="1:20" ht="15.75" hidden="1" outlineLevel="1" x14ac:dyDescent="0.25">
      <c r="A189" s="220" t="s">
        <v>57</v>
      </c>
      <c r="B189" s="217" t="s">
        <v>12</v>
      </c>
      <c r="C189" s="228" t="s">
        <v>69</v>
      </c>
      <c r="D189" s="77" t="s">
        <v>14</v>
      </c>
      <c r="E189" s="78">
        <v>630.48</v>
      </c>
      <c r="F189" s="78">
        <v>2643.67</v>
      </c>
      <c r="G189" s="79">
        <v>5011.4492</v>
      </c>
      <c r="H189" s="80"/>
      <c r="I189" s="80"/>
      <c r="J189" s="80"/>
      <c r="K189" s="80"/>
      <c r="L189" s="80"/>
      <c r="M189" s="80"/>
      <c r="N189" s="80"/>
      <c r="O189" s="80"/>
      <c r="P189" s="80"/>
      <c r="Q189" s="90">
        <f>+SUM(E189:P189)</f>
        <v>8285.5992000000006</v>
      </c>
      <c r="R189" s="303">
        <f>Q189/Q190</f>
        <v>0.15064725818181821</v>
      </c>
      <c r="S189" s="110" t="e">
        <v>#DIV/0!</v>
      </c>
    </row>
    <row r="190" spans="1:20" ht="16.5" hidden="1" outlineLevel="1" thickBot="1" x14ac:dyDescent="0.3">
      <c r="A190" s="221"/>
      <c r="B190" s="129"/>
      <c r="C190" s="229"/>
      <c r="D190" s="81" t="s">
        <v>1</v>
      </c>
      <c r="E190" s="82">
        <v>10000</v>
      </c>
      <c r="F190" s="82">
        <v>10000</v>
      </c>
      <c r="G190" s="82">
        <v>5500</v>
      </c>
      <c r="H190" s="82">
        <v>5500</v>
      </c>
      <c r="I190" s="82">
        <v>3500</v>
      </c>
      <c r="J190" s="82">
        <v>2500</v>
      </c>
      <c r="K190" s="82">
        <v>1000</v>
      </c>
      <c r="L190" s="82">
        <v>1000</v>
      </c>
      <c r="M190" s="82">
        <v>1000</v>
      </c>
      <c r="N190" s="82">
        <v>3000</v>
      </c>
      <c r="O190" s="82">
        <v>2000</v>
      </c>
      <c r="P190" s="82">
        <v>10000</v>
      </c>
      <c r="Q190" s="144">
        <f>SUM(E190:P190)</f>
        <v>55000</v>
      </c>
      <c r="R190" s="304"/>
      <c r="S190" s="109">
        <f>Q190/$Q$230</f>
        <v>3.4371777645845702E-3</v>
      </c>
    </row>
    <row r="191" spans="1:20" ht="15.75" hidden="1" outlineLevel="1" x14ac:dyDescent="0.25">
      <c r="A191" s="220" t="s">
        <v>57</v>
      </c>
      <c r="B191" s="217" t="s">
        <v>12</v>
      </c>
      <c r="C191" s="228" t="s">
        <v>111</v>
      </c>
      <c r="D191" s="77" t="s">
        <v>14</v>
      </c>
      <c r="E191" s="78">
        <v>2366.17</v>
      </c>
      <c r="F191" s="78">
        <v>643.36</v>
      </c>
      <c r="G191" s="79">
        <v>371.72719999999998</v>
      </c>
      <c r="H191" s="80"/>
      <c r="I191" s="80"/>
      <c r="J191" s="80"/>
      <c r="K191" s="80"/>
      <c r="L191" s="80"/>
      <c r="M191" s="122"/>
      <c r="N191" s="122"/>
      <c r="O191" s="122"/>
      <c r="P191" s="122"/>
      <c r="Q191" s="90">
        <f>+SUM(E191:P191)</f>
        <v>3381.2572</v>
      </c>
      <c r="R191" s="303">
        <f>Q191/Q192</f>
        <v>9.6607348571428567E-2</v>
      </c>
      <c r="S191" s="110" t="e">
        <v>#DIV/0!</v>
      </c>
    </row>
    <row r="192" spans="1:20" ht="16.5" hidden="1" outlineLevel="1" thickBot="1" x14ac:dyDescent="0.3">
      <c r="A192" s="221"/>
      <c r="B192" s="129"/>
      <c r="C192" s="229"/>
      <c r="D192" s="81" t="s">
        <v>1</v>
      </c>
      <c r="E192" s="82">
        <v>1500</v>
      </c>
      <c r="F192" s="82">
        <v>500</v>
      </c>
      <c r="G192" s="82">
        <v>500</v>
      </c>
      <c r="H192" s="82">
        <v>500</v>
      </c>
      <c r="I192" s="82">
        <v>500</v>
      </c>
      <c r="J192" s="82">
        <v>1000</v>
      </c>
      <c r="K192" s="82">
        <v>3000</v>
      </c>
      <c r="L192" s="82">
        <v>12000</v>
      </c>
      <c r="M192" s="82">
        <v>11500</v>
      </c>
      <c r="N192" s="82">
        <v>3000</v>
      </c>
      <c r="O192" s="82">
        <v>500</v>
      </c>
      <c r="P192" s="82">
        <v>500</v>
      </c>
      <c r="Q192" s="144">
        <f>SUM(E192:P192)</f>
        <v>35000</v>
      </c>
      <c r="R192" s="304"/>
      <c r="S192" s="109">
        <f>Q192/$Q$230</f>
        <v>2.1872949410992721E-3</v>
      </c>
    </row>
    <row r="193" spans="1:22" ht="15.75" hidden="1" outlineLevel="1" x14ac:dyDescent="0.25">
      <c r="A193" s="220" t="s">
        <v>57</v>
      </c>
      <c r="B193" s="217" t="s">
        <v>12</v>
      </c>
      <c r="C193" s="222" t="s">
        <v>138</v>
      </c>
      <c r="D193" s="77" t="s">
        <v>14</v>
      </c>
      <c r="E193" s="78">
        <v>1493.5</v>
      </c>
      <c r="F193" s="78">
        <v>63.5</v>
      </c>
      <c r="G193" s="79">
        <v>201795.5</v>
      </c>
      <c r="H193" s="78"/>
      <c r="I193" s="78"/>
      <c r="J193" s="78"/>
      <c r="K193" s="80"/>
      <c r="L193" s="80"/>
      <c r="M193" s="122"/>
      <c r="N193" s="80"/>
      <c r="O193" s="80"/>
      <c r="P193" s="80"/>
      <c r="Q193" s="90">
        <f>+SUM(E193:P193)</f>
        <v>203352.5</v>
      </c>
      <c r="R193" s="303">
        <f>Q193/Q194</f>
        <v>0.67784166666666668</v>
      </c>
      <c r="S193" s="110" t="e">
        <v>#DIV/0!</v>
      </c>
    </row>
    <row r="194" spans="1:22" ht="16.5" hidden="1" outlineLevel="1" thickBot="1" x14ac:dyDescent="0.3">
      <c r="A194" s="221"/>
      <c r="B194" s="129"/>
      <c r="C194" s="223"/>
      <c r="D194" s="81" t="s">
        <v>1</v>
      </c>
      <c r="E194" s="82">
        <v>10000</v>
      </c>
      <c r="F194" s="82">
        <v>50000</v>
      </c>
      <c r="G194" s="82">
        <v>150000</v>
      </c>
      <c r="H194" s="82">
        <v>10000</v>
      </c>
      <c r="I194" s="82">
        <v>10000</v>
      </c>
      <c r="J194" s="82">
        <v>10000</v>
      </c>
      <c r="K194" s="82">
        <v>10000</v>
      </c>
      <c r="L194" s="82">
        <v>10000</v>
      </c>
      <c r="M194" s="82">
        <v>10000</v>
      </c>
      <c r="N194" s="82">
        <v>10000</v>
      </c>
      <c r="O194" s="82">
        <v>10000</v>
      </c>
      <c r="P194" s="82">
        <v>10000</v>
      </c>
      <c r="Q194" s="144">
        <f>SUM(E194:P194)</f>
        <v>300000</v>
      </c>
      <c r="R194" s="304"/>
      <c r="S194" s="109">
        <f>Q194/$Q$230</f>
        <v>1.8748242352279475E-2</v>
      </c>
    </row>
    <row r="195" spans="1:22" ht="15.75" hidden="1" outlineLevel="1" x14ac:dyDescent="0.25">
      <c r="A195" s="220" t="s">
        <v>57</v>
      </c>
      <c r="B195" s="217" t="s">
        <v>12</v>
      </c>
      <c r="C195" s="222" t="s">
        <v>127</v>
      </c>
      <c r="D195" s="77" t="s">
        <v>14</v>
      </c>
      <c r="E195" s="78">
        <v>693</v>
      </c>
      <c r="F195" s="78">
        <v>1220</v>
      </c>
      <c r="G195" s="79">
        <v>2561.5</v>
      </c>
      <c r="H195" s="78"/>
      <c r="I195" s="78"/>
      <c r="J195" s="78"/>
      <c r="K195" s="80"/>
      <c r="L195" s="80"/>
      <c r="M195" s="80"/>
      <c r="N195" s="80"/>
      <c r="O195" s="80"/>
      <c r="P195" s="80"/>
      <c r="Q195" s="90">
        <f>+SUM(E195:P195)</f>
        <v>4474.5</v>
      </c>
      <c r="R195" s="303">
        <f>Q195/Q196</f>
        <v>7.4575000000000002E-2</v>
      </c>
      <c r="S195" s="110" t="e">
        <v>#DIV/0!</v>
      </c>
    </row>
    <row r="196" spans="1:22" ht="16.5" hidden="1" outlineLevel="1" thickBot="1" x14ac:dyDescent="0.3">
      <c r="A196" s="221"/>
      <c r="B196" s="129"/>
      <c r="C196" s="223"/>
      <c r="D196" s="81" t="s">
        <v>1</v>
      </c>
      <c r="E196" s="82">
        <v>5500</v>
      </c>
      <c r="F196" s="82">
        <v>5500</v>
      </c>
      <c r="G196" s="82">
        <v>5500</v>
      </c>
      <c r="H196" s="82">
        <v>5500</v>
      </c>
      <c r="I196" s="82">
        <v>3500</v>
      </c>
      <c r="J196" s="82">
        <v>4500</v>
      </c>
      <c r="K196" s="88">
        <v>2500</v>
      </c>
      <c r="L196" s="88">
        <v>5500</v>
      </c>
      <c r="M196" s="88">
        <v>5500</v>
      </c>
      <c r="N196" s="88">
        <v>5500</v>
      </c>
      <c r="O196" s="88">
        <v>5500</v>
      </c>
      <c r="P196" s="88">
        <v>5500</v>
      </c>
      <c r="Q196" s="144">
        <f>SUM(E196:P196)</f>
        <v>60000</v>
      </c>
      <c r="R196" s="304"/>
      <c r="S196" s="109">
        <f>Q196/$Q$230</f>
        <v>3.7496484704558947E-3</v>
      </c>
    </row>
    <row r="197" spans="1:22" ht="15.75" hidden="1" outlineLevel="1" x14ac:dyDescent="0.25">
      <c r="A197" s="220" t="s">
        <v>57</v>
      </c>
      <c r="B197" s="217" t="s">
        <v>12</v>
      </c>
      <c r="C197" s="222" t="s">
        <v>58</v>
      </c>
      <c r="D197" s="77" t="s">
        <v>14</v>
      </c>
      <c r="E197" s="78">
        <v>6875</v>
      </c>
      <c r="F197" s="78">
        <v>603.77269999999999</v>
      </c>
      <c r="G197" s="79"/>
      <c r="H197" s="78"/>
      <c r="I197" s="78"/>
      <c r="J197" s="78"/>
      <c r="K197" s="80"/>
      <c r="L197" s="80"/>
      <c r="M197" s="80"/>
      <c r="N197" s="80"/>
      <c r="O197" s="80"/>
      <c r="P197" s="80"/>
      <c r="Q197" s="90">
        <f>+SUM(E197:P197)</f>
        <v>7478.7726999999995</v>
      </c>
      <c r="R197" s="303">
        <f>Q197/Q198</f>
        <v>0.149575454</v>
      </c>
      <c r="S197" s="110" t="e">
        <v>#DIV/0!</v>
      </c>
    </row>
    <row r="198" spans="1:22" ht="16.5" hidden="1" outlineLevel="1" thickBot="1" x14ac:dyDescent="0.3">
      <c r="A198" s="221"/>
      <c r="B198" s="129"/>
      <c r="C198" s="223"/>
      <c r="D198" s="81" t="s">
        <v>1</v>
      </c>
      <c r="E198" s="82">
        <v>2500</v>
      </c>
      <c r="F198" s="82">
        <v>2500</v>
      </c>
      <c r="G198" s="82">
        <v>0</v>
      </c>
      <c r="H198" s="82">
        <v>2000</v>
      </c>
      <c r="I198" s="82">
        <v>5000</v>
      </c>
      <c r="J198" s="82">
        <v>5000</v>
      </c>
      <c r="K198" s="88">
        <v>10000</v>
      </c>
      <c r="L198" s="88">
        <v>4000</v>
      </c>
      <c r="M198" s="88">
        <v>4000</v>
      </c>
      <c r="N198" s="88">
        <v>5000</v>
      </c>
      <c r="O198" s="88">
        <v>5000</v>
      </c>
      <c r="P198" s="88">
        <v>5000</v>
      </c>
      <c r="Q198" s="144">
        <f>SUM(E198:P198)</f>
        <v>50000</v>
      </c>
      <c r="R198" s="304"/>
      <c r="S198" s="109">
        <f>Q198/$Q$230</f>
        <v>3.1247070587132456E-3</v>
      </c>
    </row>
    <row r="199" spans="1:22" ht="15.75" hidden="1" outlineLevel="1" x14ac:dyDescent="0.25">
      <c r="A199" s="220" t="s">
        <v>57</v>
      </c>
      <c r="B199" s="217" t="s">
        <v>12</v>
      </c>
      <c r="C199" s="222" t="s">
        <v>59</v>
      </c>
      <c r="D199" s="77" t="s">
        <v>14</v>
      </c>
      <c r="E199" s="78">
        <v>14605.48</v>
      </c>
      <c r="F199" s="78">
        <v>19112.52</v>
      </c>
      <c r="G199" s="79">
        <v>29500.84</v>
      </c>
      <c r="H199" s="78"/>
      <c r="I199" s="78"/>
      <c r="J199" s="78"/>
      <c r="K199" s="80"/>
      <c r="L199" s="80"/>
      <c r="M199" s="80"/>
      <c r="N199" s="80"/>
      <c r="O199" s="80"/>
      <c r="P199" s="80"/>
      <c r="Q199" s="90">
        <f>+SUM(E199:P199)</f>
        <v>63218.84</v>
      </c>
      <c r="R199" s="303">
        <f>Q199/Q200</f>
        <v>0.28097262222222219</v>
      </c>
      <c r="S199" s="110" t="e">
        <v>#DIV/0!</v>
      </c>
    </row>
    <row r="200" spans="1:22" ht="16.5" hidden="1" outlineLevel="1" thickBot="1" x14ac:dyDescent="0.3">
      <c r="A200" s="221"/>
      <c r="B200" s="129"/>
      <c r="C200" s="223"/>
      <c r="D200" s="81" t="s">
        <v>1</v>
      </c>
      <c r="E200" s="82">
        <v>25000</v>
      </c>
      <c r="F200" s="82">
        <v>20000</v>
      </c>
      <c r="G200" s="82">
        <v>25000</v>
      </c>
      <c r="H200" s="82">
        <v>10000</v>
      </c>
      <c r="I200" s="82">
        <v>15000</v>
      </c>
      <c r="J200" s="82">
        <v>20000</v>
      </c>
      <c r="K200" s="88">
        <v>15000</v>
      </c>
      <c r="L200" s="88">
        <v>20000</v>
      </c>
      <c r="M200" s="88">
        <v>20000</v>
      </c>
      <c r="N200" s="88">
        <v>20000</v>
      </c>
      <c r="O200" s="88">
        <v>15000</v>
      </c>
      <c r="P200" s="88">
        <v>20000</v>
      </c>
      <c r="Q200" s="144">
        <f>SUM(E200:P200)</f>
        <v>225000</v>
      </c>
      <c r="R200" s="304"/>
      <c r="S200" s="109">
        <f>Q200/$Q$230</f>
        <v>1.4061181764209606E-2</v>
      </c>
    </row>
    <row r="201" spans="1:22" ht="15.75" hidden="1" outlineLevel="1" x14ac:dyDescent="0.25">
      <c r="A201" s="220" t="s">
        <v>57</v>
      </c>
      <c r="B201" s="217" t="s">
        <v>12</v>
      </c>
      <c r="C201" s="222" t="s">
        <v>60</v>
      </c>
      <c r="D201" s="77" t="s">
        <v>14</v>
      </c>
      <c r="E201" s="78">
        <v>4987.3999999999996</v>
      </c>
      <c r="F201" s="78">
        <v>2454</v>
      </c>
      <c r="G201" s="79">
        <v>85467.199999999997</v>
      </c>
      <c r="H201" s="78"/>
      <c r="I201" s="78"/>
      <c r="J201" s="78"/>
      <c r="K201" s="80"/>
      <c r="L201" s="80"/>
      <c r="M201" s="80"/>
      <c r="N201" s="80"/>
      <c r="O201" s="80"/>
      <c r="P201" s="80"/>
      <c r="Q201" s="90">
        <f>+SUM(E201:P201)</f>
        <v>92908.599999999991</v>
      </c>
      <c r="R201" s="303">
        <f>Q201/Q202</f>
        <v>1.3178524822695035</v>
      </c>
      <c r="S201" s="110" t="e">
        <v>#DIV/0!</v>
      </c>
    </row>
    <row r="202" spans="1:22" ht="16.5" hidden="1" outlineLevel="1" thickBot="1" x14ac:dyDescent="0.3">
      <c r="A202" s="221"/>
      <c r="B202" s="129"/>
      <c r="C202" s="223"/>
      <c r="D202" s="81" t="s">
        <v>1</v>
      </c>
      <c r="E202" s="82">
        <v>10000</v>
      </c>
      <c r="F202" s="82">
        <v>10000</v>
      </c>
      <c r="G202" s="82">
        <v>10000</v>
      </c>
      <c r="H202" s="82">
        <v>5500</v>
      </c>
      <c r="I202" s="82">
        <v>5500</v>
      </c>
      <c r="J202" s="82">
        <v>5500</v>
      </c>
      <c r="K202" s="88">
        <v>3500</v>
      </c>
      <c r="L202" s="88">
        <v>3500</v>
      </c>
      <c r="M202" s="88">
        <v>3500</v>
      </c>
      <c r="N202" s="88">
        <v>5500</v>
      </c>
      <c r="O202" s="88">
        <v>2500</v>
      </c>
      <c r="P202" s="88">
        <v>5500</v>
      </c>
      <c r="Q202" s="144">
        <f>SUM(E202:P202)</f>
        <v>70500</v>
      </c>
      <c r="R202" s="304"/>
      <c r="S202" s="109">
        <f>Q202/$Q$230</f>
        <v>4.4058369527856765E-3</v>
      </c>
    </row>
    <row r="203" spans="1:22" ht="15.75" hidden="1" outlineLevel="1" x14ac:dyDescent="0.25">
      <c r="A203" s="220" t="s">
        <v>57</v>
      </c>
      <c r="B203" s="217" t="s">
        <v>12</v>
      </c>
      <c r="C203" s="222" t="s">
        <v>72</v>
      </c>
      <c r="D203" s="77" t="s">
        <v>14</v>
      </c>
      <c r="E203" s="78">
        <v>251342.55</v>
      </c>
      <c r="F203" s="78">
        <v>37393.85</v>
      </c>
      <c r="G203" s="79">
        <v>18073.8</v>
      </c>
      <c r="H203" s="78"/>
      <c r="I203" s="78"/>
      <c r="J203" s="78"/>
      <c r="K203" s="80"/>
      <c r="L203" s="80"/>
      <c r="M203" s="80"/>
      <c r="N203" s="80"/>
      <c r="O203" s="80"/>
      <c r="P203" s="80"/>
      <c r="Q203" s="90">
        <f>+SUM(E203:P203)</f>
        <v>306810.19999999995</v>
      </c>
      <c r="R203" s="303">
        <f>Q203/Q204</f>
        <v>1.149101872659176</v>
      </c>
      <c r="S203" s="110" t="e">
        <v>#DIV/0!</v>
      </c>
    </row>
    <row r="204" spans="1:22" ht="16.5" hidden="1" outlineLevel="1" thickBot="1" x14ac:dyDescent="0.3">
      <c r="A204" s="221"/>
      <c r="B204" s="129"/>
      <c r="C204" s="223"/>
      <c r="D204" s="81" t="s">
        <v>1</v>
      </c>
      <c r="E204" s="82">
        <v>0</v>
      </c>
      <c r="F204" s="82">
        <v>257000</v>
      </c>
      <c r="G204" s="82"/>
      <c r="H204" s="82">
        <v>0</v>
      </c>
      <c r="I204" s="82">
        <v>0</v>
      </c>
      <c r="J204" s="82">
        <v>0</v>
      </c>
      <c r="K204" s="88">
        <v>2000</v>
      </c>
      <c r="L204" s="88">
        <v>1500</v>
      </c>
      <c r="M204" s="88">
        <v>0</v>
      </c>
      <c r="N204" s="88">
        <v>2500</v>
      </c>
      <c r="O204" s="88">
        <v>2500</v>
      </c>
      <c r="P204" s="88">
        <v>1500</v>
      </c>
      <c r="Q204" s="144">
        <f>SUM(E204:P204)</f>
        <v>267000</v>
      </c>
      <c r="R204" s="304"/>
      <c r="S204" s="109">
        <f>Q204/$Q$230</f>
        <v>1.6685935693528733E-2</v>
      </c>
    </row>
    <row r="205" spans="1:22" ht="15.75" hidden="1" outlineLevel="1" x14ac:dyDescent="0.25">
      <c r="A205" s="220" t="s">
        <v>57</v>
      </c>
      <c r="B205" s="217" t="s">
        <v>12</v>
      </c>
      <c r="C205" s="222" t="s">
        <v>61</v>
      </c>
      <c r="D205" s="77" t="s">
        <v>14</v>
      </c>
      <c r="E205" s="78">
        <v>2603.0500000000002</v>
      </c>
      <c r="F205" s="78">
        <v>1762.57</v>
      </c>
      <c r="G205" s="79">
        <v>5041.45</v>
      </c>
      <c r="H205" s="78"/>
      <c r="I205" s="78"/>
      <c r="J205" s="78"/>
      <c r="K205" s="80"/>
      <c r="L205" s="80"/>
      <c r="M205" s="80"/>
      <c r="N205" s="80"/>
      <c r="O205" s="80"/>
      <c r="P205" s="80"/>
      <c r="Q205" s="90">
        <f>+SUM(E205:P205)</f>
        <v>9407.07</v>
      </c>
      <c r="R205" s="303">
        <f>Q205/Q206</f>
        <v>0.20904599999999998</v>
      </c>
      <c r="S205" s="110" t="e">
        <v>#DIV/0!</v>
      </c>
    </row>
    <row r="206" spans="1:22" ht="16.5" hidden="1" outlineLevel="1" thickBot="1" x14ac:dyDescent="0.3">
      <c r="A206" s="221"/>
      <c r="B206" s="129"/>
      <c r="C206" s="223"/>
      <c r="D206" s="81" t="s">
        <v>1</v>
      </c>
      <c r="E206" s="254">
        <v>2500</v>
      </c>
      <c r="F206" s="82">
        <v>2500</v>
      </c>
      <c r="G206" s="82">
        <v>3500</v>
      </c>
      <c r="H206" s="82">
        <v>5000</v>
      </c>
      <c r="I206" s="82">
        <v>4000</v>
      </c>
      <c r="J206" s="82">
        <v>4500</v>
      </c>
      <c r="K206" s="88">
        <v>3000</v>
      </c>
      <c r="L206" s="88">
        <v>3500</v>
      </c>
      <c r="M206" s="88">
        <v>3500</v>
      </c>
      <c r="N206" s="88">
        <v>4500</v>
      </c>
      <c r="O206" s="88">
        <v>3000</v>
      </c>
      <c r="P206" s="88">
        <v>5500</v>
      </c>
      <c r="Q206" s="144">
        <f>SUM(E206:P206)</f>
        <v>45000</v>
      </c>
      <c r="R206" s="304"/>
      <c r="S206" s="109">
        <f>Q206/$Q$230</f>
        <v>2.8122363528419211E-3</v>
      </c>
    </row>
    <row r="207" spans="1:22" ht="16.5" hidden="1" outlineLevel="1" thickBot="1" x14ac:dyDescent="0.3">
      <c r="A207" s="220" t="s">
        <v>57</v>
      </c>
      <c r="B207" s="217" t="s">
        <v>23</v>
      </c>
      <c r="C207" s="218" t="s">
        <v>62</v>
      </c>
      <c r="D207" s="77" t="s">
        <v>14</v>
      </c>
      <c r="E207" s="256">
        <v>30508.7</v>
      </c>
      <c r="F207" s="78">
        <v>31795.13</v>
      </c>
      <c r="G207" s="79">
        <v>89723.91</v>
      </c>
      <c r="H207" s="122"/>
      <c r="I207" s="122"/>
      <c r="J207" s="122"/>
      <c r="K207" s="80"/>
      <c r="L207" s="80"/>
      <c r="M207" s="80"/>
      <c r="N207" s="80"/>
      <c r="O207" s="80"/>
      <c r="P207" s="80"/>
      <c r="Q207" s="245">
        <f>+SUM(E207:P207)</f>
        <v>152027.74</v>
      </c>
      <c r="R207" s="315">
        <f>Q207/Q209</f>
        <v>0.27147810714285714</v>
      </c>
      <c r="S207" s="246" t="e">
        <v>#DIV/0!</v>
      </c>
      <c r="V207" s="130"/>
    </row>
    <row r="208" spans="1:22" ht="16.5" hidden="1" outlineLevel="1" thickBot="1" x14ac:dyDescent="0.3">
      <c r="A208" s="221"/>
      <c r="B208" s="129"/>
      <c r="C208" s="219"/>
      <c r="D208" s="84" t="s">
        <v>25</v>
      </c>
      <c r="E208" s="255"/>
      <c r="F208" s="124"/>
      <c r="G208" s="124"/>
      <c r="H208" s="124"/>
      <c r="I208" s="124"/>
      <c r="J208" s="124"/>
      <c r="K208" s="93"/>
      <c r="L208" s="93"/>
      <c r="M208" s="93"/>
      <c r="N208" s="93"/>
      <c r="O208" s="93"/>
      <c r="P208" s="93"/>
      <c r="Q208" s="91">
        <f>SUM(E208:P208)</f>
        <v>0</v>
      </c>
      <c r="R208" s="316"/>
      <c r="S208" s="111" t="e">
        <v>#DIV/0!</v>
      </c>
    </row>
    <row r="209" spans="1:21" ht="17.25" hidden="1" outlineLevel="1" thickTop="1" thickBot="1" x14ac:dyDescent="0.3">
      <c r="A209" s="221"/>
      <c r="B209" s="129"/>
      <c r="C209" s="219"/>
      <c r="D209" s="81" t="s">
        <v>1</v>
      </c>
      <c r="E209" s="82">
        <v>40000</v>
      </c>
      <c r="F209" s="82">
        <v>50000</v>
      </c>
      <c r="G209" s="82">
        <v>45000</v>
      </c>
      <c r="H209" s="82">
        <v>40000</v>
      </c>
      <c r="I209" s="82">
        <v>50000</v>
      </c>
      <c r="J209" s="82">
        <v>50000</v>
      </c>
      <c r="K209" s="88">
        <v>40000</v>
      </c>
      <c r="L209" s="88">
        <v>50000</v>
      </c>
      <c r="M209" s="88">
        <v>50000</v>
      </c>
      <c r="N209" s="88">
        <v>50000</v>
      </c>
      <c r="O209" s="88">
        <v>45000</v>
      </c>
      <c r="P209" s="88">
        <v>50000</v>
      </c>
      <c r="Q209" s="88">
        <f>SUM(E209:P209)</f>
        <v>560000</v>
      </c>
      <c r="R209" s="317"/>
      <c r="S209" s="109">
        <f>Q209/$Q$230</f>
        <v>3.4996719057588353E-2</v>
      </c>
      <c r="T209" s="130"/>
      <c r="U209" s="130"/>
    </row>
    <row r="210" spans="1:21" ht="17.25" collapsed="1" thickTop="1" thickBot="1" x14ac:dyDescent="0.25">
      <c r="A210" s="230" t="s">
        <v>57</v>
      </c>
      <c r="B210" s="232" t="s">
        <v>0</v>
      </c>
      <c r="C210" s="230" t="s">
        <v>0</v>
      </c>
      <c r="D210" s="96" t="s">
        <v>14</v>
      </c>
      <c r="E210" s="97">
        <f t="shared" ref="E210:P210" si="25">SUM(E207+E205+E201+E199+E197+E195+E193+E191+E189+E208+E203)</f>
        <v>316105.33</v>
      </c>
      <c r="F210" s="97">
        <v>97692.372700000007</v>
      </c>
      <c r="G210" s="97">
        <f t="shared" si="25"/>
        <v>437547.37640000001</v>
      </c>
      <c r="H210" s="97">
        <f t="shared" si="25"/>
        <v>0</v>
      </c>
      <c r="I210" s="97">
        <f t="shared" si="25"/>
        <v>0</v>
      </c>
      <c r="J210" s="97">
        <f t="shared" si="25"/>
        <v>0</v>
      </c>
      <c r="K210" s="97">
        <f t="shared" si="25"/>
        <v>0</v>
      </c>
      <c r="L210" s="97">
        <f t="shared" si="25"/>
        <v>0</v>
      </c>
      <c r="M210" s="97">
        <f t="shared" si="25"/>
        <v>0</v>
      </c>
      <c r="N210" s="97">
        <f t="shared" si="25"/>
        <v>0</v>
      </c>
      <c r="O210" s="97">
        <f t="shared" si="25"/>
        <v>0</v>
      </c>
      <c r="P210" s="97">
        <f t="shared" si="25"/>
        <v>0</v>
      </c>
      <c r="Q210" s="97">
        <f>SUM(Q207+Q205+Q201+Q203+Q199+Q197+Q195+Q193+Q191+Q189+Q208)</f>
        <v>851345.07909999986</v>
      </c>
      <c r="R210" s="308">
        <f>Q210/Q211</f>
        <v>0.51055177157421283</v>
      </c>
      <c r="S210" s="110" t="e">
        <v>#DIV/0!</v>
      </c>
      <c r="T210" s="130"/>
    </row>
    <row r="211" spans="1:21" ht="17.25" thickTop="1" thickBot="1" x14ac:dyDescent="0.3">
      <c r="A211" s="231"/>
      <c r="B211" s="233"/>
      <c r="C211" s="231"/>
      <c r="D211" s="69" t="s">
        <v>1</v>
      </c>
      <c r="E211" s="19">
        <f t="shared" ref="E211:Q211" si="26">SUM(E190,E192,E194,E196,E198,E200,E202,E204,E206,E209)</f>
        <v>107000</v>
      </c>
      <c r="F211" s="19">
        <v>408000</v>
      </c>
      <c r="G211" s="19">
        <f t="shared" si="26"/>
        <v>245000</v>
      </c>
      <c r="H211" s="19">
        <f t="shared" si="26"/>
        <v>84000</v>
      </c>
      <c r="I211" s="19">
        <f t="shared" si="26"/>
        <v>97000</v>
      </c>
      <c r="J211" s="19">
        <f t="shared" si="26"/>
        <v>103000</v>
      </c>
      <c r="K211" s="19">
        <f t="shared" si="26"/>
        <v>90000</v>
      </c>
      <c r="L211" s="19">
        <f t="shared" si="26"/>
        <v>111000</v>
      </c>
      <c r="M211" s="19">
        <f t="shared" si="26"/>
        <v>109000</v>
      </c>
      <c r="N211" s="19">
        <f t="shared" si="26"/>
        <v>109000</v>
      </c>
      <c r="O211" s="19">
        <f t="shared" si="26"/>
        <v>91000</v>
      </c>
      <c r="P211" s="19">
        <f t="shared" si="26"/>
        <v>113500</v>
      </c>
      <c r="Q211" s="19">
        <f t="shared" si="26"/>
        <v>1667500</v>
      </c>
      <c r="R211" s="308"/>
      <c r="S211" s="109">
        <f>Q211/$Q$230</f>
        <v>0.10420898040808674</v>
      </c>
    </row>
    <row r="212" spans="1:21" ht="17.25" thickTop="1" thickBot="1" x14ac:dyDescent="0.3">
      <c r="A212" s="231"/>
      <c r="B212" s="233"/>
      <c r="C212" s="231"/>
      <c r="D212" s="70" t="s">
        <v>2</v>
      </c>
      <c r="E212" s="8">
        <f t="shared" ref="E212:P212" si="27">E210/E211</f>
        <v>2.9542554205607479</v>
      </c>
      <c r="F212" s="8">
        <v>0.2394420899509804</v>
      </c>
      <c r="G212" s="8">
        <f t="shared" si="27"/>
        <v>1.7859076587755103</v>
      </c>
      <c r="H212" s="8">
        <f t="shared" si="27"/>
        <v>0</v>
      </c>
      <c r="I212" s="8">
        <f t="shared" si="27"/>
        <v>0</v>
      </c>
      <c r="J212" s="8">
        <f t="shared" si="27"/>
        <v>0</v>
      </c>
      <c r="K212" s="8">
        <f t="shared" si="27"/>
        <v>0</v>
      </c>
      <c r="L212" s="8">
        <f t="shared" si="27"/>
        <v>0</v>
      </c>
      <c r="M212" s="8">
        <f t="shared" si="27"/>
        <v>0</v>
      </c>
      <c r="N212" s="8">
        <f t="shared" si="27"/>
        <v>0</v>
      </c>
      <c r="O212" s="8">
        <f t="shared" si="27"/>
        <v>0</v>
      </c>
      <c r="P212" s="8">
        <f t="shared" si="27"/>
        <v>0</v>
      </c>
      <c r="Q212" s="50">
        <f>Q210/Q211</f>
        <v>0.51055177157421283</v>
      </c>
      <c r="R212" s="308"/>
      <c r="S212" s="103"/>
    </row>
    <row r="213" spans="1:21" ht="17.25" thickTop="1" thickBot="1" x14ac:dyDescent="0.3">
      <c r="A213" s="231"/>
      <c r="B213" s="233"/>
      <c r="C213" s="231"/>
      <c r="D213" s="71" t="s">
        <v>3</v>
      </c>
      <c r="E213" s="10">
        <f>E210-E211</f>
        <v>209105.33000000002</v>
      </c>
      <c r="F213" s="10">
        <v>-310307.62729999999</v>
      </c>
      <c r="G213" s="10">
        <f t="shared" ref="G213:P213" si="28">G210-G211</f>
        <v>192547.37640000001</v>
      </c>
      <c r="H213" s="10">
        <f t="shared" si="28"/>
        <v>-84000</v>
      </c>
      <c r="I213" s="10">
        <f t="shared" si="28"/>
        <v>-97000</v>
      </c>
      <c r="J213" s="10">
        <f t="shared" si="28"/>
        <v>-103000</v>
      </c>
      <c r="K213" s="10">
        <f t="shared" si="28"/>
        <v>-90000</v>
      </c>
      <c r="L213" s="10">
        <f t="shared" si="28"/>
        <v>-111000</v>
      </c>
      <c r="M213" s="10">
        <f t="shared" si="28"/>
        <v>-109000</v>
      </c>
      <c r="N213" s="10">
        <f t="shared" si="28"/>
        <v>-109000</v>
      </c>
      <c r="O213" s="10">
        <f t="shared" si="28"/>
        <v>-91000</v>
      </c>
      <c r="P213" s="10">
        <f t="shared" si="28"/>
        <v>-113500</v>
      </c>
      <c r="Q213" s="51">
        <f>Q210-Q211</f>
        <v>-816154.92090000014</v>
      </c>
      <c r="R213" s="308"/>
      <c r="S213" s="104"/>
    </row>
    <row r="214" spans="1:21" ht="16.5" thickBot="1" x14ac:dyDescent="0.3">
      <c r="A214" s="231"/>
      <c r="B214" s="233"/>
      <c r="C214" s="231"/>
      <c r="D214" s="72" t="s">
        <v>4</v>
      </c>
      <c r="E214" s="52">
        <f>E213/E210</f>
        <v>0.661505233081644</v>
      </c>
      <c r="F214" s="52">
        <v>-3.1763751736577484</v>
      </c>
      <c r="G214" s="9">
        <f t="shared" ref="G214:P214" si="29">G213/G210</f>
        <v>0.44006063522587724</v>
      </c>
      <c r="H214" s="9" t="e">
        <f>H213/H210</f>
        <v>#DIV/0!</v>
      </c>
      <c r="I214" s="9" t="e">
        <f t="shared" si="29"/>
        <v>#DIV/0!</v>
      </c>
      <c r="J214" s="9" t="e">
        <f t="shared" si="29"/>
        <v>#DIV/0!</v>
      </c>
      <c r="K214" s="9" t="e">
        <f t="shared" si="29"/>
        <v>#DIV/0!</v>
      </c>
      <c r="L214" s="9" t="e">
        <f t="shared" si="29"/>
        <v>#DIV/0!</v>
      </c>
      <c r="M214" s="9" t="e">
        <f t="shared" si="29"/>
        <v>#DIV/0!</v>
      </c>
      <c r="N214" s="9" t="e">
        <f t="shared" si="29"/>
        <v>#DIV/0!</v>
      </c>
      <c r="O214" s="9" t="e">
        <f t="shared" si="29"/>
        <v>#DIV/0!</v>
      </c>
      <c r="P214" s="9" t="e">
        <f t="shared" si="29"/>
        <v>#DIV/0!</v>
      </c>
      <c r="Q214" s="52">
        <f>Q213/Q210</f>
        <v>-0.9586652239334007</v>
      </c>
      <c r="R214" s="22"/>
      <c r="S214" s="107"/>
    </row>
    <row r="215" spans="1:21" ht="15.75" thickBot="1" x14ac:dyDescent="0.25">
      <c r="A215" s="6"/>
      <c r="B215" s="6"/>
      <c r="C215" s="75"/>
      <c r="D215" s="99" t="s">
        <v>26</v>
      </c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100"/>
      <c r="Q215" s="99"/>
      <c r="R215" s="98"/>
      <c r="S215" s="106"/>
    </row>
    <row r="216" spans="1:21" ht="15.75" hidden="1" outlineLevel="1" x14ac:dyDescent="0.25">
      <c r="A216" s="220" t="s">
        <v>63</v>
      </c>
      <c r="B216" s="217" t="s">
        <v>23</v>
      </c>
      <c r="C216" s="222" t="s">
        <v>63</v>
      </c>
      <c r="D216" s="77" t="s">
        <v>14</v>
      </c>
      <c r="E216" s="78">
        <v>6703.46</v>
      </c>
      <c r="F216" s="78">
        <v>13445.69</v>
      </c>
      <c r="G216" s="79">
        <v>21551.61</v>
      </c>
      <c r="H216" s="80"/>
      <c r="I216" s="80"/>
      <c r="J216" s="80"/>
      <c r="K216" s="80"/>
      <c r="L216" s="80"/>
      <c r="M216" s="80"/>
      <c r="N216" s="80"/>
      <c r="O216" s="80"/>
      <c r="P216" s="80"/>
      <c r="Q216" s="90">
        <f>+SUM(E216:P216)</f>
        <v>41700.76</v>
      </c>
      <c r="R216" s="303">
        <f>Q216/Q217</f>
        <v>0.36419877729257644</v>
      </c>
      <c r="S216" s="110" t="e">
        <v>#DIV/0!</v>
      </c>
    </row>
    <row r="217" spans="1:21" ht="16.5" hidden="1" outlineLevel="1" thickBot="1" x14ac:dyDescent="0.3">
      <c r="A217" s="221"/>
      <c r="B217" s="129"/>
      <c r="C217" s="223"/>
      <c r="D217" s="81" t="s">
        <v>1</v>
      </c>
      <c r="E217" s="101">
        <v>8000</v>
      </c>
      <c r="F217" s="101">
        <v>8000</v>
      </c>
      <c r="G217" s="101">
        <v>8000</v>
      </c>
      <c r="H217" s="101">
        <v>10500</v>
      </c>
      <c r="I217" s="101">
        <v>10000</v>
      </c>
      <c r="J217" s="101">
        <v>12000</v>
      </c>
      <c r="K217" s="101">
        <v>9000</v>
      </c>
      <c r="L217" s="101">
        <v>8500</v>
      </c>
      <c r="M217" s="101">
        <v>10000</v>
      </c>
      <c r="N217" s="101">
        <v>10000</v>
      </c>
      <c r="O217" s="101">
        <v>8500</v>
      </c>
      <c r="P217" s="101">
        <v>12000</v>
      </c>
      <c r="Q217" s="144">
        <f>SUM(E217:P217)</f>
        <v>114500</v>
      </c>
      <c r="R217" s="304"/>
      <c r="S217" s="109">
        <v>8.9600127449099374E-3</v>
      </c>
    </row>
    <row r="218" spans="1:21" ht="15.75" hidden="1" outlineLevel="1" x14ac:dyDescent="0.25">
      <c r="A218" s="217" t="s">
        <v>64</v>
      </c>
      <c r="B218" s="234" t="s">
        <v>65</v>
      </c>
      <c r="C218" s="218" t="s">
        <v>65</v>
      </c>
      <c r="D218" s="77" t="s">
        <v>14</v>
      </c>
      <c r="E218" s="78"/>
      <c r="F218" s="78">
        <v>0</v>
      </c>
      <c r="G218" s="79"/>
      <c r="H218" s="80"/>
      <c r="I218" s="80"/>
      <c r="J218" s="80"/>
      <c r="K218" s="80"/>
      <c r="L218" s="80"/>
      <c r="M218" s="80"/>
      <c r="N218" s="80"/>
      <c r="O218" s="80"/>
      <c r="P218" s="80"/>
      <c r="Q218" s="90">
        <f>+SUM(E218:P218)</f>
        <v>0</v>
      </c>
      <c r="R218" s="303">
        <f>Q218/Q219</f>
        <v>0</v>
      </c>
      <c r="S218" s="110" t="e">
        <v>#DIV/0!</v>
      </c>
    </row>
    <row r="219" spans="1:21" ht="16.5" hidden="1" outlineLevel="1" thickBot="1" x14ac:dyDescent="0.3">
      <c r="A219" s="129"/>
      <c r="B219" s="235"/>
      <c r="C219" s="219"/>
      <c r="D219" s="81" t="s">
        <v>1</v>
      </c>
      <c r="E219" s="101"/>
      <c r="F219" s="101"/>
      <c r="G219" s="101"/>
      <c r="H219" s="101"/>
      <c r="I219" s="101"/>
      <c r="J219" s="101"/>
      <c r="K219" s="101"/>
      <c r="L219" s="101"/>
      <c r="M219" s="101">
        <v>5000</v>
      </c>
      <c r="N219" s="101">
        <v>5000</v>
      </c>
      <c r="O219" s="101">
        <v>5000</v>
      </c>
      <c r="P219" s="101">
        <v>5000</v>
      </c>
      <c r="Q219" s="144">
        <f>SUM(E219:P219)</f>
        <v>20000</v>
      </c>
      <c r="R219" s="304"/>
      <c r="S219" s="109">
        <f>Q219/$Q$230</f>
        <v>1.2498828234852983E-3</v>
      </c>
    </row>
    <row r="220" spans="1:21" ht="15.75" hidden="1" outlineLevel="1" x14ac:dyDescent="0.25">
      <c r="A220" s="217" t="s">
        <v>66</v>
      </c>
      <c r="B220" s="217" t="s">
        <v>67</v>
      </c>
      <c r="C220" s="218" t="s">
        <v>67</v>
      </c>
      <c r="D220" s="77" t="s">
        <v>14</v>
      </c>
      <c r="E220" s="78"/>
      <c r="F220" s="78">
        <v>0</v>
      </c>
      <c r="G220" s="79">
        <v>8390.6200000000008</v>
      </c>
      <c r="H220" s="80"/>
      <c r="I220" s="80"/>
      <c r="J220" s="80"/>
      <c r="K220" s="80"/>
      <c r="L220" s="80"/>
      <c r="M220" s="80"/>
      <c r="N220" s="80"/>
      <c r="O220" s="80"/>
      <c r="P220" s="80"/>
      <c r="Q220" s="90">
        <f>+SUM(E220:P220)</f>
        <v>8390.6200000000008</v>
      </c>
      <c r="R220" s="303">
        <f>Q220/Q221</f>
        <v>6.9921833333333336E-2</v>
      </c>
      <c r="S220" s="110" t="e">
        <v>#DIV/0!</v>
      </c>
    </row>
    <row r="221" spans="1:21" ht="16.5" hidden="1" outlineLevel="1" thickBot="1" x14ac:dyDescent="0.3">
      <c r="A221" s="129"/>
      <c r="B221" s="129"/>
      <c r="C221" s="219"/>
      <c r="D221" s="81" t="s">
        <v>1</v>
      </c>
      <c r="E221" s="101"/>
      <c r="F221" s="101"/>
      <c r="G221" s="101"/>
      <c r="H221" s="101">
        <v>40000</v>
      </c>
      <c r="I221" s="101"/>
      <c r="J221" s="101">
        <v>10000</v>
      </c>
      <c r="K221" s="101"/>
      <c r="L221" s="101"/>
      <c r="M221" s="101">
        <v>10000</v>
      </c>
      <c r="N221" s="101">
        <v>20000</v>
      </c>
      <c r="O221" s="101">
        <v>20000</v>
      </c>
      <c r="P221" s="101">
        <v>20000</v>
      </c>
      <c r="Q221" s="144">
        <f>SUM(E221:P221)</f>
        <v>120000</v>
      </c>
      <c r="R221" s="304"/>
      <c r="S221" s="109">
        <f>Q221/$Q$230</f>
        <v>7.4992969409117894E-3</v>
      </c>
    </row>
    <row r="222" spans="1:21" ht="17.25" collapsed="1" thickTop="1" thickBot="1" x14ac:dyDescent="0.25">
      <c r="A222" s="232" t="s">
        <v>63</v>
      </c>
      <c r="B222" s="232" t="s">
        <v>0</v>
      </c>
      <c r="C222" s="230" t="s">
        <v>0</v>
      </c>
      <c r="D222" s="23" t="s">
        <v>14</v>
      </c>
      <c r="E222" s="74">
        <f t="shared" ref="E222:Q222" si="30">SUM(E216,E218,E220)</f>
        <v>6703.46</v>
      </c>
      <c r="F222" s="74">
        <v>13445.69</v>
      </c>
      <c r="G222" s="74">
        <f t="shared" si="30"/>
        <v>29942.230000000003</v>
      </c>
      <c r="H222" s="74">
        <f t="shared" si="30"/>
        <v>0</v>
      </c>
      <c r="I222" s="74">
        <f t="shared" si="30"/>
        <v>0</v>
      </c>
      <c r="J222" s="74">
        <f t="shared" si="30"/>
        <v>0</v>
      </c>
      <c r="K222" s="74">
        <f t="shared" si="30"/>
        <v>0</v>
      </c>
      <c r="L222" s="74">
        <f t="shared" si="30"/>
        <v>0</v>
      </c>
      <c r="M222" s="74">
        <f t="shared" si="30"/>
        <v>0</v>
      </c>
      <c r="N222" s="74">
        <f t="shared" si="30"/>
        <v>0</v>
      </c>
      <c r="O222" s="74">
        <f t="shared" si="30"/>
        <v>0</v>
      </c>
      <c r="P222" s="74">
        <f t="shared" si="30"/>
        <v>0</v>
      </c>
      <c r="Q222" s="74">
        <f t="shared" si="30"/>
        <v>50091.380000000005</v>
      </c>
      <c r="R222" s="308">
        <f>Q222/Q223</f>
        <v>0.19682271119842831</v>
      </c>
      <c r="S222" s="123" t="e">
        <v>#DIV/0!</v>
      </c>
    </row>
    <row r="223" spans="1:21" ht="17.25" thickTop="1" thickBot="1" x14ac:dyDescent="0.3">
      <c r="A223" s="233"/>
      <c r="B223" s="233"/>
      <c r="C223" s="231"/>
      <c r="D223" s="24" t="s">
        <v>1</v>
      </c>
      <c r="E223" s="27">
        <f t="shared" ref="E223:Q223" si="31">SUM(E217,E219,E221)</f>
        <v>8000</v>
      </c>
      <c r="F223" s="27">
        <v>8000</v>
      </c>
      <c r="G223" s="27">
        <f t="shared" si="31"/>
        <v>8000</v>
      </c>
      <c r="H223" s="27">
        <f t="shared" si="31"/>
        <v>50500</v>
      </c>
      <c r="I223" s="27">
        <f t="shared" si="31"/>
        <v>10000</v>
      </c>
      <c r="J223" s="27">
        <f t="shared" si="31"/>
        <v>22000</v>
      </c>
      <c r="K223" s="27">
        <f t="shared" si="31"/>
        <v>9000</v>
      </c>
      <c r="L223" s="27">
        <f t="shared" si="31"/>
        <v>8500</v>
      </c>
      <c r="M223" s="27">
        <f t="shared" si="31"/>
        <v>25000</v>
      </c>
      <c r="N223" s="27">
        <f t="shared" si="31"/>
        <v>35000</v>
      </c>
      <c r="O223" s="27">
        <f t="shared" si="31"/>
        <v>33500</v>
      </c>
      <c r="P223" s="27">
        <f t="shared" si="31"/>
        <v>37000</v>
      </c>
      <c r="Q223" s="27">
        <f t="shared" si="31"/>
        <v>254500</v>
      </c>
      <c r="R223" s="308"/>
      <c r="S223" s="109">
        <f>Q223/$Q$230</f>
        <v>1.5904758928850422E-2</v>
      </c>
    </row>
    <row r="224" spans="1:21" ht="17.25" thickTop="1" thickBot="1" x14ac:dyDescent="0.3">
      <c r="A224" s="233"/>
      <c r="B224" s="233"/>
      <c r="C224" s="231"/>
      <c r="D224" s="25" t="s">
        <v>2</v>
      </c>
      <c r="E224" s="8">
        <f>E222/E223</f>
        <v>0.83793249999999997</v>
      </c>
      <c r="F224" s="8">
        <v>1.6807112500000001</v>
      </c>
      <c r="G224" s="8">
        <f>G222/G223</f>
        <v>3.7427787500000003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2.18E-2</v>
      </c>
      <c r="N224" s="20">
        <v>4.2857142857142858E-2</v>
      </c>
      <c r="O224" s="20">
        <v>0</v>
      </c>
      <c r="P224" s="41">
        <v>0</v>
      </c>
      <c r="Q224" s="50">
        <f>Q222/Q223</f>
        <v>0.19682271119842831</v>
      </c>
      <c r="R224" s="308"/>
      <c r="S224" s="103"/>
    </row>
    <row r="225" spans="1:19" ht="17.25" thickTop="1" thickBot="1" x14ac:dyDescent="0.3">
      <c r="A225" s="233"/>
      <c r="B225" s="233"/>
      <c r="C225" s="231"/>
      <c r="D225" s="26" t="s">
        <v>3</v>
      </c>
      <c r="E225" s="28">
        <f>E222-E223</f>
        <v>-1296.54</v>
      </c>
      <c r="F225" s="28">
        <v>5445.6900000000005</v>
      </c>
      <c r="G225" s="28">
        <v>-8000</v>
      </c>
      <c r="H225" s="28">
        <v>-50500</v>
      </c>
      <c r="I225" s="28">
        <v>-10000</v>
      </c>
      <c r="J225" s="28">
        <v>-22000</v>
      </c>
      <c r="K225" s="28">
        <v>-9000</v>
      </c>
      <c r="L225" s="28">
        <v>-8500</v>
      </c>
      <c r="M225" s="28">
        <v>-24455</v>
      </c>
      <c r="N225" s="28">
        <v>-33500</v>
      </c>
      <c r="O225" s="28">
        <v>-33500</v>
      </c>
      <c r="P225" s="42">
        <v>-37000</v>
      </c>
      <c r="Q225" s="53">
        <f>Q222-Q223</f>
        <v>-204408.62</v>
      </c>
      <c r="R225" s="308"/>
      <c r="S225" s="104"/>
    </row>
    <row r="226" spans="1:19" ht="16.5" thickBot="1" x14ac:dyDescent="0.3">
      <c r="A226" s="233"/>
      <c r="B226" s="233"/>
      <c r="C226" s="231"/>
      <c r="D226" s="73" t="s">
        <v>4</v>
      </c>
      <c r="E226" s="52">
        <f>E225/E222</f>
        <v>-0.19341355061416043</v>
      </c>
      <c r="F226" s="52">
        <v>0.40501379996117715</v>
      </c>
      <c r="G226" s="21" t="e">
        <v>#DIV/0!</v>
      </c>
      <c r="H226" s="9" t="e">
        <f>H225/H222</f>
        <v>#DIV/0!</v>
      </c>
      <c r="I226" s="9" t="e">
        <f t="shared" ref="I226:P226" si="32">I225/I222</f>
        <v>#DIV/0!</v>
      </c>
      <c r="J226" s="9" t="e">
        <f t="shared" si="32"/>
        <v>#DIV/0!</v>
      </c>
      <c r="K226" s="9" t="e">
        <f t="shared" si="32"/>
        <v>#DIV/0!</v>
      </c>
      <c r="L226" s="9" t="e">
        <f t="shared" si="32"/>
        <v>#DIV/0!</v>
      </c>
      <c r="M226" s="9" t="e">
        <f t="shared" si="32"/>
        <v>#DIV/0!</v>
      </c>
      <c r="N226" s="9" t="e">
        <f t="shared" si="32"/>
        <v>#DIV/0!</v>
      </c>
      <c r="O226" s="9" t="e">
        <f t="shared" si="32"/>
        <v>#DIV/0!</v>
      </c>
      <c r="P226" s="9" t="e">
        <f t="shared" si="32"/>
        <v>#DIV/0!</v>
      </c>
      <c r="Q226" s="52">
        <f>Q225/Q222</f>
        <v>-4.0807144862050109</v>
      </c>
      <c r="R226" s="22"/>
      <c r="S226" s="107"/>
    </row>
    <row r="227" spans="1:19" x14ac:dyDescent="0.2">
      <c r="A227" s="106"/>
      <c r="B227" s="106"/>
      <c r="C227" s="121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</row>
    <row r="228" spans="1:19" ht="16.5" thickBot="1" x14ac:dyDescent="0.25">
      <c r="A228" s="4"/>
      <c r="B228" s="4"/>
      <c r="C228" s="76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5"/>
      <c r="S228" s="1"/>
    </row>
    <row r="229" spans="1:19" ht="17.25" thickTop="1" thickBot="1" x14ac:dyDescent="0.25">
      <c r="A229" s="236" t="s">
        <v>68</v>
      </c>
      <c r="B229" s="237"/>
      <c r="C229" s="238"/>
      <c r="D229" s="29" t="s">
        <v>14</v>
      </c>
      <c r="E229" s="30">
        <f t="shared" ref="E229:Q229" si="33">E222+E210+E183+E166+E111+E79+E46</f>
        <v>1690699.71</v>
      </c>
      <c r="F229" s="30">
        <v>1246190.1322999999</v>
      </c>
      <c r="G229" s="30">
        <f>G222+G210+G183+G166+G111+G79+G46</f>
        <v>1415618.2381</v>
      </c>
      <c r="H229" s="30">
        <f t="shared" si="33"/>
        <v>0</v>
      </c>
      <c r="I229" s="30">
        <f t="shared" si="33"/>
        <v>0</v>
      </c>
      <c r="J229" s="30">
        <f t="shared" si="33"/>
        <v>0</v>
      </c>
      <c r="K229" s="30">
        <f t="shared" si="33"/>
        <v>0</v>
      </c>
      <c r="L229" s="30">
        <f t="shared" si="33"/>
        <v>0</v>
      </c>
      <c r="M229" s="30">
        <f t="shared" si="33"/>
        <v>0</v>
      </c>
      <c r="N229" s="30">
        <f t="shared" si="33"/>
        <v>0</v>
      </c>
      <c r="O229" s="30">
        <f t="shared" si="33"/>
        <v>0</v>
      </c>
      <c r="P229" s="30">
        <f t="shared" si="33"/>
        <v>0</v>
      </c>
      <c r="Q229" s="30">
        <f t="shared" si="33"/>
        <v>4352508.0804000003</v>
      </c>
      <c r="R229" s="314">
        <f>Q229/Q230</f>
        <v>0.2720062544386464</v>
      </c>
      <c r="S229" s="30" t="e">
        <v>#DIV/0!</v>
      </c>
    </row>
    <row r="230" spans="1:19" ht="17.25" thickTop="1" thickBot="1" x14ac:dyDescent="0.25">
      <c r="A230" s="239"/>
      <c r="B230" s="240"/>
      <c r="C230" s="241"/>
      <c r="D230" s="31" t="s">
        <v>1</v>
      </c>
      <c r="E230" s="137">
        <f t="shared" ref="E230:Q230" si="34">SUM(E223,E211,E184,E167,E112,E80,E47)</f>
        <v>1435665</v>
      </c>
      <c r="F230" s="137">
        <v>1507367</v>
      </c>
      <c r="G230" s="137">
        <f t="shared" si="34"/>
        <v>1733267</v>
      </c>
      <c r="H230" s="137">
        <f t="shared" si="34"/>
        <v>1157167</v>
      </c>
      <c r="I230" s="137">
        <f t="shared" si="34"/>
        <v>1169117</v>
      </c>
      <c r="J230" s="137">
        <f t="shared" si="34"/>
        <v>1082667</v>
      </c>
      <c r="K230" s="137">
        <f t="shared" si="34"/>
        <v>1077667</v>
      </c>
      <c r="L230" s="137">
        <f t="shared" si="34"/>
        <v>1196367</v>
      </c>
      <c r="M230" s="137">
        <f t="shared" si="34"/>
        <v>1630617</v>
      </c>
      <c r="N230" s="137">
        <f t="shared" si="34"/>
        <v>1429067</v>
      </c>
      <c r="O230" s="137">
        <f t="shared" si="34"/>
        <v>1255517</v>
      </c>
      <c r="P230" s="137">
        <f t="shared" si="34"/>
        <v>1327015</v>
      </c>
      <c r="Q230" s="137">
        <f t="shared" si="34"/>
        <v>16001500</v>
      </c>
      <c r="R230" s="314"/>
      <c r="S230" s="109">
        <f>Q229/$Q$230</f>
        <v>0.2720062544386464</v>
      </c>
    </row>
    <row r="231" spans="1:19" ht="17.25" thickTop="1" thickBot="1" x14ac:dyDescent="0.3">
      <c r="A231" s="239"/>
      <c r="B231" s="240"/>
      <c r="C231" s="241"/>
      <c r="D231" s="13" t="s">
        <v>2</v>
      </c>
      <c r="E231" s="8">
        <f t="shared" ref="E231:P231" si="35">E229/E230</f>
        <v>1.1776422145834857</v>
      </c>
      <c r="F231" s="8">
        <v>0.82673305989848522</v>
      </c>
      <c r="G231" s="8">
        <f t="shared" si="35"/>
        <v>0.81673408545827042</v>
      </c>
      <c r="H231" s="8">
        <f t="shared" si="35"/>
        <v>0</v>
      </c>
      <c r="I231" s="8">
        <f t="shared" si="35"/>
        <v>0</v>
      </c>
      <c r="J231" s="8">
        <f t="shared" si="35"/>
        <v>0</v>
      </c>
      <c r="K231" s="8">
        <f t="shared" si="35"/>
        <v>0</v>
      </c>
      <c r="L231" s="8">
        <f t="shared" si="35"/>
        <v>0</v>
      </c>
      <c r="M231" s="8">
        <f t="shared" si="35"/>
        <v>0</v>
      </c>
      <c r="N231" s="8">
        <f t="shared" si="35"/>
        <v>0</v>
      </c>
      <c r="O231" s="8">
        <f t="shared" si="35"/>
        <v>0</v>
      </c>
      <c r="P231" s="8">
        <f t="shared" si="35"/>
        <v>0</v>
      </c>
      <c r="Q231" s="43">
        <f>Q229/Q230</f>
        <v>0.2720062544386464</v>
      </c>
      <c r="R231" s="314"/>
      <c r="S231" s="108"/>
    </row>
    <row r="232" spans="1:19" ht="17.25" thickTop="1" thickBot="1" x14ac:dyDescent="0.3">
      <c r="A232" s="239"/>
      <c r="B232" s="240"/>
      <c r="C232" s="241"/>
      <c r="D232" s="32" t="s">
        <v>3</v>
      </c>
      <c r="E232" s="33">
        <f>E229-E230</f>
        <v>255034.70999999996</v>
      </c>
      <c r="F232" s="33">
        <v>-261176.86770000006</v>
      </c>
      <c r="G232" s="33">
        <f t="shared" ref="G232:P232" si="36">G229-G230</f>
        <v>-317648.76190000004</v>
      </c>
      <c r="H232" s="33">
        <f t="shared" si="36"/>
        <v>-1157167</v>
      </c>
      <c r="I232" s="33">
        <f t="shared" si="36"/>
        <v>-1169117</v>
      </c>
      <c r="J232" s="33">
        <f t="shared" si="36"/>
        <v>-1082667</v>
      </c>
      <c r="K232" s="33">
        <f t="shared" si="36"/>
        <v>-1077667</v>
      </c>
      <c r="L232" s="33">
        <f t="shared" si="36"/>
        <v>-1196367</v>
      </c>
      <c r="M232" s="33">
        <f t="shared" si="36"/>
        <v>-1630617</v>
      </c>
      <c r="N232" s="33">
        <f t="shared" si="36"/>
        <v>-1429067</v>
      </c>
      <c r="O232" s="33">
        <f t="shared" si="36"/>
        <v>-1255517</v>
      </c>
      <c r="P232" s="33">
        <f t="shared" si="36"/>
        <v>-1327015</v>
      </c>
      <c r="Q232" s="54">
        <f>Q229-Q230</f>
        <v>-11648991.919599999</v>
      </c>
      <c r="R232" s="314"/>
      <c r="S232" s="126"/>
    </row>
    <row r="233" spans="1:19" ht="17.25" thickTop="1" thickBot="1" x14ac:dyDescent="0.25">
      <c r="A233" s="242"/>
      <c r="B233" s="243"/>
      <c r="C233" s="244"/>
      <c r="D233" s="34" t="s">
        <v>4</v>
      </c>
      <c r="E233" s="55">
        <f>E232/E229</f>
        <v>0.15084565786079182</v>
      </c>
      <c r="F233" s="55">
        <v>-0.20958027264905832</v>
      </c>
      <c r="G233" s="55">
        <f t="shared" ref="G233:P233" si="37">G232/G229</f>
        <v>-0.22438871819448908</v>
      </c>
      <c r="H233" s="55" t="e">
        <f t="shared" si="37"/>
        <v>#DIV/0!</v>
      </c>
      <c r="I233" s="55" t="e">
        <f t="shared" si="37"/>
        <v>#DIV/0!</v>
      </c>
      <c r="J233" s="55" t="e">
        <f t="shared" si="37"/>
        <v>#DIV/0!</v>
      </c>
      <c r="K233" s="55" t="e">
        <f t="shared" si="37"/>
        <v>#DIV/0!</v>
      </c>
      <c r="L233" s="55" t="e">
        <f t="shared" si="37"/>
        <v>#DIV/0!</v>
      </c>
      <c r="M233" s="55" t="e">
        <f t="shared" si="37"/>
        <v>#DIV/0!</v>
      </c>
      <c r="N233" s="55" t="e">
        <f t="shared" si="37"/>
        <v>#DIV/0!</v>
      </c>
      <c r="O233" s="55" t="e">
        <f t="shared" si="37"/>
        <v>#DIV/0!</v>
      </c>
      <c r="P233" s="55" t="e">
        <f t="shared" si="37"/>
        <v>#DIV/0!</v>
      </c>
      <c r="Q233" s="55">
        <f>Q232/Q229</f>
        <v>-2.676386052459538</v>
      </c>
      <c r="R233" s="35"/>
      <c r="S233" s="107"/>
    </row>
    <row r="234" spans="1:19" ht="15.75" thickTop="1" x14ac:dyDescent="0.2">
      <c r="Q234" s="142"/>
    </row>
  </sheetData>
  <autoFilter ref="A2:P226" xr:uid="{43BA3DA2-58F2-4CA6-B97D-601275A894A0}"/>
  <mergeCells count="100">
    <mergeCell ref="R155:R156"/>
    <mergeCell ref="R157:R158"/>
    <mergeCell ref="R151:R152"/>
    <mergeCell ref="R153:R154"/>
    <mergeCell ref="R147:R148"/>
    <mergeCell ref="R149:R150"/>
    <mergeCell ref="R131:R132"/>
    <mergeCell ref="R133:R134"/>
    <mergeCell ref="R25:R26"/>
    <mergeCell ref="R46:R49"/>
    <mergeCell ref="R39:R40"/>
    <mergeCell ref="R41:R42"/>
    <mergeCell ref="R29:R30"/>
    <mergeCell ref="R31:R32"/>
    <mergeCell ref="R127:R128"/>
    <mergeCell ref="R129:R130"/>
    <mergeCell ref="R125:R126"/>
    <mergeCell ref="R109:R110"/>
    <mergeCell ref="R123:R124"/>
    <mergeCell ref="R121:R122"/>
    <mergeCell ref="R105:R106"/>
    <mergeCell ref="R107:R108"/>
    <mergeCell ref="R222:R225"/>
    <mergeCell ref="R229:R232"/>
    <mergeCell ref="R201:R202"/>
    <mergeCell ref="R205:R206"/>
    <mergeCell ref="R203:R204"/>
    <mergeCell ref="R216:R217"/>
    <mergeCell ref="R218:R219"/>
    <mergeCell ref="R207:R209"/>
    <mergeCell ref="R210:R213"/>
    <mergeCell ref="R220:R221"/>
    <mergeCell ref="R197:R198"/>
    <mergeCell ref="R199:R200"/>
    <mergeCell ref="R193:R194"/>
    <mergeCell ref="R195:R196"/>
    <mergeCell ref="R189:R190"/>
    <mergeCell ref="R191:R192"/>
    <mergeCell ref="R183:R186"/>
    <mergeCell ref="R178:R179"/>
    <mergeCell ref="R159:R160"/>
    <mergeCell ref="R161:R162"/>
    <mergeCell ref="R174:R175"/>
    <mergeCell ref="R176:R177"/>
    <mergeCell ref="R163:R165"/>
    <mergeCell ref="R166:R169"/>
    <mergeCell ref="R172:R173"/>
    <mergeCell ref="R180:R182"/>
    <mergeCell ref="R143:R144"/>
    <mergeCell ref="R145:R146"/>
    <mergeCell ref="R139:R140"/>
    <mergeCell ref="R141:R142"/>
    <mergeCell ref="R135:R136"/>
    <mergeCell ref="R137:R138"/>
    <mergeCell ref="R117:R118"/>
    <mergeCell ref="R119:R120"/>
    <mergeCell ref="R101:R102"/>
    <mergeCell ref="R103:R104"/>
    <mergeCell ref="R111:R114"/>
    <mergeCell ref="R97:R98"/>
    <mergeCell ref="R99:R100"/>
    <mergeCell ref="R93:R94"/>
    <mergeCell ref="R95:R96"/>
    <mergeCell ref="R87:R88"/>
    <mergeCell ref="R91:R92"/>
    <mergeCell ref="R89:R90"/>
    <mergeCell ref="R79:R82"/>
    <mergeCell ref="R85:R86"/>
    <mergeCell ref="R76:R78"/>
    <mergeCell ref="R70:R71"/>
    <mergeCell ref="R74:R75"/>
    <mergeCell ref="R66:R67"/>
    <mergeCell ref="R68:R69"/>
    <mergeCell ref="R72:R73"/>
    <mergeCell ref="R64:R65"/>
    <mergeCell ref="R52:R53"/>
    <mergeCell ref="R58:R59"/>
    <mergeCell ref="R60:R61"/>
    <mergeCell ref="R54:R55"/>
    <mergeCell ref="R56:R57"/>
    <mergeCell ref="R62:R63"/>
    <mergeCell ref="R37:R38"/>
    <mergeCell ref="R17:R18"/>
    <mergeCell ref="R27:R28"/>
    <mergeCell ref="R33:R34"/>
    <mergeCell ref="R43:R45"/>
    <mergeCell ref="R35:R36"/>
    <mergeCell ref="A1:P1"/>
    <mergeCell ref="S1:S2"/>
    <mergeCell ref="R3:R4"/>
    <mergeCell ref="R5:R6"/>
    <mergeCell ref="R23:R24"/>
    <mergeCell ref="R19:R20"/>
    <mergeCell ref="R21:R22"/>
    <mergeCell ref="R9:R10"/>
    <mergeCell ref="Q1:R1"/>
    <mergeCell ref="R11:R12"/>
    <mergeCell ref="R13:R14"/>
    <mergeCell ref="R7:R8"/>
    <mergeCell ref="R15:R16"/>
  </mergeCells>
  <conditionalFormatting sqref="E162:O162">
    <cfRule type="containsErrors" dxfId="26" priority="38">
      <formula>ISERROR(E162)</formula>
    </cfRule>
  </conditionalFormatting>
  <conditionalFormatting sqref="E9:Q9 E10:P10 E11:Q11 E12:P12 E13:Q13 E14:P14 E15:Q15 E16:P16 E17:Q17 E18:P18 E19:Q19 E20:P20 E21:Q21 E22:P22 E23:Q23 E24:P24 E25:Q25 E26:P26 E27:Q27 E28:P28 E29:Q29 E30:P30 E31:Q31 E32:P32 E33:Q33 E34:P34 E35:I35 E36:P36 E37:I37 E38:P38 E39:I39 E40:N42 E43:I43 E44:P45">
    <cfRule type="containsErrors" dxfId="25" priority="1">
      <formula>ISERROR(E9)</formula>
    </cfRule>
  </conditionalFormatting>
  <conditionalFormatting sqref="F3:F5 F7:G7 E51:P53 E54:Q54 E56:Q56 E58:Q58 E60:H60 E62:Q62 E64:H64 E66:I66 E68:Q68 E70:Q70 E72:Q72 E74:L75 E76:I76 E84:P86 E87:H87 E89:Q89 E91:Q91 E93:Q93 E95:Q95 E97:Q97 E99:Q99 E101:Q101 E103:K103 E104:M106 E107:I107 E109:Q109 E117:N117 E118:M120 E121:I121 E123:I123 E125:I125 E126:M128 E129:N140 E141:I141 E143:I143 E145:I145 E147:I147 E149:M150 E151:I151 E153:I153 E154:M155 E156:N161 E163:I163 E172:I172 E174:Q174 E176:Q176 E178:Q178 E179:P182 E189:I189 E191:Q191 E193:Q193 E195:J195 E197:J201 E203:J203 E205:J205 E207:I207 E216:I216 E218:I218 E220:I220">
    <cfRule type="containsErrors" dxfId="24" priority="9">
      <formula>ISERROR(E3)</formula>
    </cfRule>
  </conditionalFormatting>
  <conditionalFormatting sqref="G3:I3 E3:E4 G4:P4 G5 Q5 Q7 M35:Q35 M37:Q37 Q39 O39:P42 Q41 Q43:Q44 G46:Q47 E46:F50 G48:P50 E55:P55 E57:P57 E59:P59 L60:Q60 E61:P61 E63:P63 L64:Q64 E65:L65 M65:P67 Q66 E67:L67 E69:P69 E71:P71 E73:P73 M73:P76 Q74 Q76:Q77 E77:P78 G79:Q80 E79:F83 G81:P83 E88:P88 E90:P90 E92:P92 E94:P94 E96:P96 E98:P98 E100:P100 E102:P102 M103:Q103 N104:P108 Q105 Q107 E108:M108 E110:P110 G111:Q112 E111:F115 G113:P115 E116:P116 O117:O160 P117:P162 N118:N122 Q119 Q121 E122:M122 Q123 E124:N124 Q125 N125:N128 Q127 Q129 Q131 Q133 Q135 Q137 Q139 Q141 N141:N145 E142:M142 Q143 E144:M144 Q145 E146:N146 M147:N147 Q147 E148:N148 Q149 N149:N155 Q151 E152:M152 Q153 Q155 Q157 Q159 Q161 Q163:Q164 E164:P165 G166:Q167 E166:F170 G168:P170 E171:P171 E173:M173 E175:P175 E177:P177 Q180:Q181 G183:Q184 E183:F187 G185:P187 E188:P188 E190:P190 E192:P192 E194:P194 M195:Q195 E196:P196 M197:Q197 K198:P200 Q199 M201:Q201 E202:P202 M203:Q203 E204:P204 M205:Q205 E206:P206 Q207:Q209 E208:P209 G210:Q211 E210:F214 G212:P214 E215:P215 E217:P217 M218:Q218 E219:P219 M220:Q220 E221:P221 E222:Q233">
    <cfRule type="containsErrors" dxfId="23" priority="80">
      <formula>ISERROR(E3)</formula>
    </cfRule>
  </conditionalFormatting>
  <conditionalFormatting sqref="J87:Q87">
    <cfRule type="containsErrors" dxfId="22" priority="78">
      <formula>ISERROR(J87)</formula>
    </cfRule>
  </conditionalFormatting>
  <conditionalFormatting sqref="M121">
    <cfRule type="containsErrors" dxfId="21" priority="140">
      <formula>ISERROR(M121)</formula>
    </cfRule>
  </conditionalFormatting>
  <conditionalFormatting sqref="M125">
    <cfRule type="containsErrors" dxfId="20" priority="162">
      <formula>ISERROR(M125)</formula>
    </cfRule>
  </conditionalFormatting>
  <conditionalFormatting sqref="M141 M143 M145 M151">
    <cfRule type="containsErrors" dxfId="19" priority="164">
      <formula>ISERROR(M141)</formula>
    </cfRule>
  </conditionalFormatting>
  <conditionalFormatting sqref="M153">
    <cfRule type="containsErrors" dxfId="18" priority="148">
      <formula>ISERROR(M153)</formula>
    </cfRule>
  </conditionalFormatting>
  <conditionalFormatting sqref="M172">
    <cfRule type="containsErrors" dxfId="17" priority="200">
      <formula>ISERROR(M172)</formula>
    </cfRule>
  </conditionalFormatting>
  <conditionalFormatting sqref="M123:N123">
    <cfRule type="containsErrors" dxfId="16" priority="64">
      <formula>ISERROR(M123)</formula>
    </cfRule>
  </conditionalFormatting>
  <conditionalFormatting sqref="M43:P43">
    <cfRule type="containsErrors" dxfId="15" priority="258">
      <formula>ISERROR(M43)</formula>
    </cfRule>
  </conditionalFormatting>
  <conditionalFormatting sqref="M163:P163">
    <cfRule type="containsErrors" dxfId="14" priority="35">
      <formula>ISERROR(M163)</formula>
    </cfRule>
  </conditionalFormatting>
  <conditionalFormatting sqref="M189:P189">
    <cfRule type="containsErrors" dxfId="13" priority="122">
      <formula>ISERROR(M189)</formula>
    </cfRule>
  </conditionalFormatting>
  <conditionalFormatting sqref="M207:P207">
    <cfRule type="containsErrors" dxfId="12" priority="106">
      <formula>ISERROR(M207)</formula>
    </cfRule>
  </conditionalFormatting>
  <conditionalFormatting sqref="M216:P216">
    <cfRule type="containsErrors" dxfId="11" priority="231">
      <formula>ISERROR(M216)</formula>
    </cfRule>
  </conditionalFormatting>
  <conditionalFormatting sqref="M3:Q3">
    <cfRule type="containsErrors" dxfId="10" priority="184">
      <formula>ISERROR(M3)</formula>
    </cfRule>
  </conditionalFormatting>
  <conditionalFormatting sqref="N17">
    <cfRule type="containsBlanks" dxfId="9" priority="92">
      <formula>LEN(TRIM(N17))=0</formula>
    </cfRule>
  </conditionalFormatting>
  <conditionalFormatting sqref="N39">
    <cfRule type="containsErrors" dxfId="8" priority="177">
      <formula>ISERROR(N39)</formula>
    </cfRule>
  </conditionalFormatting>
  <conditionalFormatting sqref="N172:P173">
    <cfRule type="containsErrors" dxfId="7" priority="174">
      <formula>ISERROR(N172)</formula>
    </cfRule>
  </conditionalFormatting>
  <conditionalFormatting sqref="Q48:Q52">
    <cfRule type="containsErrors" dxfId="6" priority="31">
      <formula>ISERROR(Q48)</formula>
    </cfRule>
  </conditionalFormatting>
  <conditionalFormatting sqref="Q81:Q85">
    <cfRule type="containsErrors" dxfId="5" priority="29">
      <formula>ISERROR(Q81)</formula>
    </cfRule>
  </conditionalFormatting>
  <conditionalFormatting sqref="Q113:Q117">
    <cfRule type="containsErrors" dxfId="4" priority="27">
      <formula>ISERROR(Q113)</formula>
    </cfRule>
  </conditionalFormatting>
  <conditionalFormatting sqref="Q168:Q172">
    <cfRule type="containsErrors" dxfId="3" priority="25">
      <formula>ISERROR(Q168)</formula>
    </cfRule>
  </conditionalFormatting>
  <conditionalFormatting sqref="Q185:Q189">
    <cfRule type="containsErrors" dxfId="2" priority="22">
      <formula>ISERROR(Q185)</formula>
    </cfRule>
  </conditionalFormatting>
  <conditionalFormatting sqref="Q212:Q216">
    <cfRule type="containsErrors" dxfId="1" priority="18">
      <formula>ISERROR(Q212)</formula>
    </cfRule>
  </conditionalFormatting>
  <conditionalFormatting sqref="S229">
    <cfRule type="containsErrors" dxfId="0" priority="228">
      <formula>ISERROR(S229)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69F8-F138-49DF-84E5-2F0B2408E066}">
  <dimension ref="A1:B86"/>
  <sheetViews>
    <sheetView topLeftCell="A58" workbookViewId="0">
      <selection activeCell="A2" sqref="A2:B86"/>
    </sheetView>
  </sheetViews>
  <sheetFormatPr defaultRowHeight="15" x14ac:dyDescent="0.25"/>
  <cols>
    <col min="1" max="1" width="31.5703125" bestFit="1" customWidth="1"/>
    <col min="2" max="2" width="12.5703125" style="253" bestFit="1" customWidth="1"/>
  </cols>
  <sheetData>
    <row r="1" spans="1:2" x14ac:dyDescent="0.25">
      <c r="A1" t="s">
        <v>125</v>
      </c>
      <c r="B1" s="253" t="s">
        <v>126</v>
      </c>
    </row>
    <row r="2" spans="1:2" x14ac:dyDescent="0.25">
      <c r="A2" s="259" t="s">
        <v>151</v>
      </c>
      <c r="B2" s="253">
        <v>5011.4492</v>
      </c>
    </row>
    <row r="3" spans="1:2" x14ac:dyDescent="0.25">
      <c r="A3" s="259" t="s">
        <v>30</v>
      </c>
      <c r="B3" s="253">
        <v>15778.2853</v>
      </c>
    </row>
    <row r="4" spans="1:2" x14ac:dyDescent="0.25">
      <c r="A4" s="259" t="s">
        <v>120</v>
      </c>
      <c r="B4" s="253">
        <v>11468.5</v>
      </c>
    </row>
    <row r="5" spans="1:2" x14ac:dyDescent="0.25">
      <c r="A5" s="259" t="s">
        <v>54</v>
      </c>
      <c r="B5" s="253">
        <v>30581</v>
      </c>
    </row>
    <row r="6" spans="1:2" x14ac:dyDescent="0.25">
      <c r="A6" s="259" t="s">
        <v>15</v>
      </c>
      <c r="B6" s="253">
        <v>9691</v>
      </c>
    </row>
    <row r="7" spans="1:2" x14ac:dyDescent="0.25">
      <c r="A7" s="259" t="s">
        <v>16</v>
      </c>
      <c r="B7" s="253">
        <v>4008</v>
      </c>
    </row>
    <row r="8" spans="1:2" x14ac:dyDescent="0.25">
      <c r="A8" s="259" t="s">
        <v>112</v>
      </c>
      <c r="B8" s="253">
        <v>5225.3635999999997</v>
      </c>
    </row>
    <row r="9" spans="1:2" x14ac:dyDescent="0.25">
      <c r="A9" s="259" t="s">
        <v>51</v>
      </c>
      <c r="B9" s="253">
        <v>3234</v>
      </c>
    </row>
    <row r="10" spans="1:2" x14ac:dyDescent="0.25">
      <c r="A10" s="259" t="s">
        <v>71</v>
      </c>
      <c r="B10" s="253">
        <v>514</v>
      </c>
    </row>
    <row r="11" spans="1:2" x14ac:dyDescent="0.25">
      <c r="A11" s="259" t="s">
        <v>95</v>
      </c>
      <c r="B11" s="253">
        <v>5203.6000000000004</v>
      </c>
    </row>
    <row r="12" spans="1:2" x14ac:dyDescent="0.25">
      <c r="A12" s="259" t="s">
        <v>132</v>
      </c>
      <c r="B12" s="253">
        <v>330</v>
      </c>
    </row>
    <row r="13" spans="1:2" x14ac:dyDescent="0.25">
      <c r="A13" s="259" t="s">
        <v>52</v>
      </c>
      <c r="B13" s="253">
        <v>18574</v>
      </c>
    </row>
    <row r="14" spans="1:2" x14ac:dyDescent="0.25">
      <c r="A14" s="259" t="s">
        <v>38</v>
      </c>
      <c r="B14" s="253">
        <v>774.5</v>
      </c>
    </row>
    <row r="15" spans="1:2" x14ac:dyDescent="0.25">
      <c r="A15" s="259" t="s">
        <v>17</v>
      </c>
      <c r="B15" s="253">
        <v>10258.049999999999</v>
      </c>
    </row>
    <row r="16" spans="1:2" x14ac:dyDescent="0.25">
      <c r="A16" s="259" t="s">
        <v>31</v>
      </c>
      <c r="B16" s="253">
        <v>3717.3</v>
      </c>
    </row>
    <row r="17" spans="1:2" x14ac:dyDescent="0.25">
      <c r="A17" s="259" t="s">
        <v>131</v>
      </c>
      <c r="B17" s="253">
        <v>7506.65</v>
      </c>
    </row>
    <row r="18" spans="1:2" x14ac:dyDescent="0.25">
      <c r="A18" s="259" t="s">
        <v>133</v>
      </c>
      <c r="B18" s="253">
        <v>44262</v>
      </c>
    </row>
    <row r="19" spans="1:2" x14ac:dyDescent="0.25">
      <c r="A19" s="259" t="s">
        <v>136</v>
      </c>
      <c r="B19" s="253">
        <v>1436.6626000000001</v>
      </c>
    </row>
    <row r="20" spans="1:2" x14ac:dyDescent="0.25">
      <c r="A20" s="259" t="s">
        <v>157</v>
      </c>
      <c r="B20" s="253">
        <v>12594</v>
      </c>
    </row>
    <row r="21" spans="1:2" x14ac:dyDescent="0.25">
      <c r="A21" s="259" t="s">
        <v>152</v>
      </c>
      <c r="B21" s="253">
        <v>3577.0450000000001</v>
      </c>
    </row>
    <row r="22" spans="1:2" x14ac:dyDescent="0.25">
      <c r="A22" s="259" t="s">
        <v>33</v>
      </c>
      <c r="B22" s="253">
        <v>3744.1</v>
      </c>
    </row>
    <row r="23" spans="1:2" x14ac:dyDescent="0.25">
      <c r="A23" s="259" t="s">
        <v>53</v>
      </c>
      <c r="B23" s="253">
        <v>30806.995999999999</v>
      </c>
    </row>
    <row r="24" spans="1:2" x14ac:dyDescent="0.25">
      <c r="A24" s="259" t="s">
        <v>129</v>
      </c>
      <c r="B24" s="253">
        <v>16019.05</v>
      </c>
    </row>
    <row r="25" spans="1:2" x14ac:dyDescent="0.25">
      <c r="A25" s="259" t="s">
        <v>139</v>
      </c>
      <c r="B25" s="253">
        <v>5299.2691999999997</v>
      </c>
    </row>
    <row r="26" spans="1:2" x14ac:dyDescent="0.25">
      <c r="A26" s="259" t="s">
        <v>91</v>
      </c>
      <c r="B26" s="253">
        <v>37125.06</v>
      </c>
    </row>
    <row r="27" spans="1:2" x14ac:dyDescent="0.25">
      <c r="A27" s="259" t="s">
        <v>94</v>
      </c>
      <c r="B27" s="253">
        <v>154525.82570000004</v>
      </c>
    </row>
    <row r="28" spans="1:2" x14ac:dyDescent="0.25">
      <c r="A28" s="259" t="s">
        <v>60</v>
      </c>
      <c r="B28" s="253">
        <v>85467.199999999997</v>
      </c>
    </row>
    <row r="29" spans="1:2" x14ac:dyDescent="0.25">
      <c r="A29" s="259" t="s">
        <v>119</v>
      </c>
      <c r="B29" s="253">
        <v>12453.590899999999</v>
      </c>
    </row>
    <row r="30" spans="1:2" x14ac:dyDescent="0.25">
      <c r="A30" s="259" t="s">
        <v>137</v>
      </c>
      <c r="B30" s="253">
        <v>4399.4324999999999</v>
      </c>
    </row>
    <row r="31" spans="1:2" x14ac:dyDescent="0.25">
      <c r="A31" s="259" t="s">
        <v>28</v>
      </c>
      <c r="B31" s="253">
        <v>1045.5</v>
      </c>
    </row>
    <row r="32" spans="1:2" x14ac:dyDescent="0.25">
      <c r="A32" s="259" t="s">
        <v>40</v>
      </c>
      <c r="B32" s="253">
        <v>1272</v>
      </c>
    </row>
    <row r="33" spans="1:2" x14ac:dyDescent="0.25">
      <c r="A33" s="259" t="s">
        <v>118</v>
      </c>
      <c r="B33" s="253">
        <v>27111.1</v>
      </c>
    </row>
    <row r="34" spans="1:2" x14ac:dyDescent="0.25">
      <c r="A34" s="259" t="s">
        <v>75</v>
      </c>
      <c r="B34" s="253">
        <v>5167</v>
      </c>
    </row>
    <row r="35" spans="1:2" x14ac:dyDescent="0.25">
      <c r="A35" s="259" t="s">
        <v>140</v>
      </c>
      <c r="B35" s="253">
        <v>24825</v>
      </c>
    </row>
    <row r="36" spans="1:2" x14ac:dyDescent="0.25">
      <c r="A36" s="259" t="s">
        <v>128</v>
      </c>
      <c r="B36" s="253">
        <v>1482</v>
      </c>
    </row>
    <row r="37" spans="1:2" x14ac:dyDescent="0.25">
      <c r="A37" s="259" t="s">
        <v>122</v>
      </c>
      <c r="B37" s="253">
        <v>3229</v>
      </c>
    </row>
    <row r="38" spans="1:2" x14ac:dyDescent="0.25">
      <c r="A38" s="259" t="s">
        <v>138</v>
      </c>
      <c r="B38" s="253">
        <v>201795.5</v>
      </c>
    </row>
    <row r="39" spans="1:2" x14ac:dyDescent="0.25">
      <c r="A39" s="259" t="s">
        <v>19</v>
      </c>
      <c r="B39" s="253">
        <v>1233</v>
      </c>
    </row>
    <row r="40" spans="1:2" x14ac:dyDescent="0.25">
      <c r="A40" s="259" t="s">
        <v>42</v>
      </c>
      <c r="B40" s="253">
        <v>21739.71</v>
      </c>
    </row>
    <row r="41" spans="1:2" x14ac:dyDescent="0.25">
      <c r="A41" s="259" t="s">
        <v>141</v>
      </c>
      <c r="B41" s="253">
        <v>18073.8</v>
      </c>
    </row>
    <row r="42" spans="1:2" x14ac:dyDescent="0.25">
      <c r="A42" s="259" t="s">
        <v>117</v>
      </c>
      <c r="B42" s="253">
        <v>7421</v>
      </c>
    </row>
    <row r="43" spans="1:2" x14ac:dyDescent="0.25">
      <c r="A43" s="259" t="s">
        <v>116</v>
      </c>
      <c r="B43" s="253">
        <v>6915.6100000000006</v>
      </c>
    </row>
    <row r="44" spans="1:2" x14ac:dyDescent="0.25">
      <c r="A44" s="259" t="s">
        <v>115</v>
      </c>
      <c r="B44" s="253">
        <v>4874.18</v>
      </c>
    </row>
    <row r="45" spans="1:2" x14ac:dyDescent="0.25">
      <c r="A45" s="259" t="s">
        <v>34</v>
      </c>
      <c r="B45" s="253">
        <v>4581</v>
      </c>
    </row>
    <row r="46" spans="1:2" x14ac:dyDescent="0.25">
      <c r="A46" s="259" t="s">
        <v>127</v>
      </c>
      <c r="B46" s="253">
        <v>2561.5</v>
      </c>
    </row>
    <row r="47" spans="1:2" x14ac:dyDescent="0.25">
      <c r="A47" s="259" t="s">
        <v>142</v>
      </c>
      <c r="B47" s="253">
        <v>30356</v>
      </c>
    </row>
    <row r="48" spans="1:2" x14ac:dyDescent="0.25">
      <c r="A48" s="259" t="s">
        <v>43</v>
      </c>
      <c r="B48" s="253">
        <v>5625.7</v>
      </c>
    </row>
    <row r="49" spans="1:2" x14ac:dyDescent="0.25">
      <c r="A49" s="259" t="s">
        <v>114</v>
      </c>
      <c r="B49" s="253">
        <v>948</v>
      </c>
    </row>
    <row r="50" spans="1:2" x14ac:dyDescent="0.25">
      <c r="A50" s="259" t="s">
        <v>44</v>
      </c>
      <c r="B50" s="253">
        <v>769.5</v>
      </c>
    </row>
    <row r="51" spans="1:2" x14ac:dyDescent="0.25">
      <c r="A51" s="259" t="s">
        <v>124</v>
      </c>
      <c r="B51" s="253">
        <v>151</v>
      </c>
    </row>
    <row r="52" spans="1:2" x14ac:dyDescent="0.25">
      <c r="A52" s="259" t="s">
        <v>73</v>
      </c>
      <c r="B52" s="253">
        <v>330</v>
      </c>
    </row>
    <row r="53" spans="1:2" x14ac:dyDescent="0.25">
      <c r="A53" s="259" t="s">
        <v>46</v>
      </c>
      <c r="B53" s="253">
        <v>14974.169999999998</v>
      </c>
    </row>
    <row r="54" spans="1:2" x14ac:dyDescent="0.25">
      <c r="A54" s="259" t="s">
        <v>41</v>
      </c>
      <c r="B54" s="253">
        <v>11387.15</v>
      </c>
    </row>
    <row r="55" spans="1:2" x14ac:dyDescent="0.25">
      <c r="A55" s="259" t="s">
        <v>110</v>
      </c>
      <c r="B55" s="253">
        <v>6621.5</v>
      </c>
    </row>
    <row r="56" spans="1:2" x14ac:dyDescent="0.25">
      <c r="A56" s="259" t="s">
        <v>134</v>
      </c>
      <c r="B56" s="253">
        <v>3745.14</v>
      </c>
    </row>
    <row r="57" spans="1:2" x14ac:dyDescent="0.25">
      <c r="A57" s="259" t="s">
        <v>59</v>
      </c>
      <c r="B57" s="253">
        <v>29500.84</v>
      </c>
    </row>
    <row r="58" spans="1:2" x14ac:dyDescent="0.25">
      <c r="A58" s="259" t="s">
        <v>92</v>
      </c>
      <c r="B58" s="253">
        <v>1373</v>
      </c>
    </row>
    <row r="59" spans="1:2" x14ac:dyDescent="0.25">
      <c r="A59" s="259" t="s">
        <v>20</v>
      </c>
      <c r="B59" s="253">
        <v>1376</v>
      </c>
    </row>
    <row r="60" spans="1:2" x14ac:dyDescent="0.25">
      <c r="A60" s="259" t="s">
        <v>29</v>
      </c>
      <c r="B60" s="253">
        <v>2628.5</v>
      </c>
    </row>
    <row r="61" spans="1:2" x14ac:dyDescent="0.25">
      <c r="A61" s="259" t="s">
        <v>93</v>
      </c>
      <c r="B61" s="253">
        <v>32879.977200000001</v>
      </c>
    </row>
    <row r="62" spans="1:2" x14ac:dyDescent="0.25">
      <c r="A62" s="259" t="s">
        <v>121</v>
      </c>
      <c r="B62" s="253">
        <v>446.5</v>
      </c>
    </row>
    <row r="63" spans="1:2" x14ac:dyDescent="0.25">
      <c r="A63" s="259" t="s">
        <v>35</v>
      </c>
      <c r="B63" s="253">
        <v>15452.595499999999</v>
      </c>
    </row>
    <row r="64" spans="1:2" x14ac:dyDescent="0.25">
      <c r="A64" s="259" t="s">
        <v>113</v>
      </c>
      <c r="B64" s="253">
        <v>30492.63</v>
      </c>
    </row>
    <row r="65" spans="1:2" x14ac:dyDescent="0.25">
      <c r="A65" s="259" t="s">
        <v>109</v>
      </c>
      <c r="B65" s="253">
        <v>5399.8081999999995</v>
      </c>
    </row>
    <row r="66" spans="1:2" x14ac:dyDescent="0.25">
      <c r="A66" s="259" t="s">
        <v>159</v>
      </c>
      <c r="B66" s="253">
        <v>4163.5</v>
      </c>
    </row>
    <row r="67" spans="1:2" x14ac:dyDescent="0.25">
      <c r="A67" s="259" t="s">
        <v>96</v>
      </c>
      <c r="B67" s="253">
        <v>8439.5</v>
      </c>
    </row>
    <row r="68" spans="1:2" x14ac:dyDescent="0.25">
      <c r="A68" s="259" t="s">
        <v>48</v>
      </c>
      <c r="B68" s="253">
        <v>1860.89</v>
      </c>
    </row>
    <row r="69" spans="1:2" x14ac:dyDescent="0.25">
      <c r="A69" s="259" t="s">
        <v>111</v>
      </c>
      <c r="B69" s="253">
        <v>371.72719999999998</v>
      </c>
    </row>
    <row r="70" spans="1:2" x14ac:dyDescent="0.25">
      <c r="A70" s="259" t="s">
        <v>143</v>
      </c>
      <c r="B70" s="253">
        <v>5041.45</v>
      </c>
    </row>
    <row r="71" spans="1:2" x14ac:dyDescent="0.25">
      <c r="A71" s="259" t="s">
        <v>130</v>
      </c>
      <c r="B71" s="253">
        <v>40710.54</v>
      </c>
    </row>
    <row r="72" spans="1:2" x14ac:dyDescent="0.25">
      <c r="A72" s="259" t="s">
        <v>13</v>
      </c>
      <c r="B72" s="253">
        <v>5529.97</v>
      </c>
    </row>
    <row r="73" spans="1:2" x14ac:dyDescent="0.25">
      <c r="A73" s="259" t="s">
        <v>47</v>
      </c>
      <c r="B73" s="253">
        <v>16428.14</v>
      </c>
    </row>
    <row r="74" spans="1:2" x14ac:dyDescent="0.25">
      <c r="A74" s="259" t="s">
        <v>21</v>
      </c>
      <c r="B74" s="253">
        <v>7183</v>
      </c>
    </row>
    <row r="75" spans="1:2" x14ac:dyDescent="0.25">
      <c r="A75" s="259" t="s">
        <v>153</v>
      </c>
      <c r="B75" s="253">
        <v>7453.5</v>
      </c>
    </row>
    <row r="76" spans="1:2" x14ac:dyDescent="0.25">
      <c r="A76" s="259" t="s">
        <v>144</v>
      </c>
      <c r="B76" s="253">
        <v>19050.47</v>
      </c>
    </row>
    <row r="77" spans="1:2" x14ac:dyDescent="0.25">
      <c r="A77" s="259" t="s">
        <v>154</v>
      </c>
      <c r="B77" s="253">
        <v>41240.81</v>
      </c>
    </row>
    <row r="78" spans="1:2" x14ac:dyDescent="0.25">
      <c r="A78" s="259" t="s">
        <v>155</v>
      </c>
      <c r="B78" s="253">
        <v>733.5</v>
      </c>
    </row>
    <row r="79" spans="1:2" x14ac:dyDescent="0.25">
      <c r="A79" s="259" t="s">
        <v>145</v>
      </c>
      <c r="B79" s="253">
        <v>34679.247300000003</v>
      </c>
    </row>
    <row r="80" spans="1:2" x14ac:dyDescent="0.25">
      <c r="A80" s="259" t="s">
        <v>146</v>
      </c>
      <c r="B80" s="253">
        <v>31849.218000000001</v>
      </c>
    </row>
    <row r="81" spans="1:2" x14ac:dyDescent="0.25">
      <c r="A81" t="s">
        <v>147</v>
      </c>
      <c r="B81" s="253">
        <v>15944.637499999999</v>
      </c>
    </row>
    <row r="82" spans="1:2" x14ac:dyDescent="0.25">
      <c r="A82" t="s">
        <v>158</v>
      </c>
      <c r="B82" s="253">
        <v>9941.1173999999992</v>
      </c>
    </row>
    <row r="83" spans="1:2" x14ac:dyDescent="0.25">
      <c r="A83" t="s">
        <v>148</v>
      </c>
      <c r="B83" s="253">
        <v>35119.899099999995</v>
      </c>
    </row>
    <row r="84" spans="1:2" x14ac:dyDescent="0.25">
      <c r="A84" t="s">
        <v>149</v>
      </c>
      <c r="B84" s="253">
        <v>11743.833000000001</v>
      </c>
    </row>
    <row r="85" spans="1:2" x14ac:dyDescent="0.25">
      <c r="A85" t="s">
        <v>150</v>
      </c>
      <c r="B85" s="253">
        <v>20857.75</v>
      </c>
    </row>
    <row r="86" spans="1:2" x14ac:dyDescent="0.25">
      <c r="A86" t="s">
        <v>156</v>
      </c>
      <c r="B86" s="253">
        <v>1281</v>
      </c>
    </row>
  </sheetData>
  <autoFilter ref="A1:B88" xr:uid="{B0EC69F8-F138-49DF-84E5-2F0B2408E06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CE424A9251C449EF5378D04175613" ma:contentTypeVersion="16" ma:contentTypeDescription="Create a new document." ma:contentTypeScope="" ma:versionID="3b816ca026d8ecfeb0fe2e320a550a8b">
  <xsd:schema xmlns:xsd="http://www.w3.org/2001/XMLSchema" xmlns:xs="http://www.w3.org/2001/XMLSchema" xmlns:p="http://schemas.microsoft.com/office/2006/metadata/properties" xmlns:ns2="f5a84934-5515-4334-9036-213253ad4b04" xmlns:ns3="b4718253-36d0-469a-9db5-723aa14a84d5" targetNamespace="http://schemas.microsoft.com/office/2006/metadata/properties" ma:root="true" ma:fieldsID="c999073047fa2820f9e078115390a63c" ns2:_="" ns3:_="">
    <xsd:import namespace="f5a84934-5515-4334-9036-213253ad4b04"/>
    <xsd:import namespace="b4718253-36d0-469a-9db5-723aa14a8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4934-5515-4334-9036-213253ad4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18253-36d0-469a-9db5-723aa14a8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3441CA-71E5-4B6C-9E84-8F31D56E0F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6741EC3-CEF6-41B4-A252-96EEFAAB7F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4E1F93-DD5C-467B-BD4E-9F8AE8148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84934-5515-4334-9036-213253ad4b04"/>
    <ds:schemaRef ds:uri="b4718253-36d0-469a-9db5-723aa14a84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</vt:lpstr>
      <vt:lpstr>25-26 Budget-Actual Invoiced</vt:lpstr>
      <vt:lpstr>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Jabbour</dc:creator>
  <cp:keywords/>
  <dc:description/>
  <cp:lastModifiedBy>Tony Boutros</cp:lastModifiedBy>
  <cp:revision/>
  <dcterms:created xsi:type="dcterms:W3CDTF">2019-11-11T01:51:38Z</dcterms:created>
  <dcterms:modified xsi:type="dcterms:W3CDTF">2025-10-02T03:43:44Z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0x01010006ECE424A9251C449EF5378D04175613</vt:lpwstr>
  </property>
  <property fmtid="{D5CDD505-2E9C-101B-9397-08002B2CF9AE}" pid="3" name="Order">
    <vt:r8>92100</vt:r8>
  </property>
</Properties>
</file>