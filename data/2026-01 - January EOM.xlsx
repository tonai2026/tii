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talimagegroup.sharepoint.com/sites/Finance/Shared Documents/Finance Management/Sales Report/25-26 Sales Reports/"/>
    </mc:Choice>
  </mc:AlternateContent>
  <xr:revisionPtr revIDLastSave="4453" documentId="8_{6CE72F7D-CB2C-47B1-905A-4A7BE0ABC248}" xr6:coauthVersionLast="47" xr6:coauthVersionMax="47" xr10:uidLastSave="{866F4F97-A715-407B-90ED-13337272E58E}"/>
  <bookViews>
    <workbookView xWindow="28680" yWindow="-120" windowWidth="29040" windowHeight="15720" tabRatio="708" xr2:uid="{438BEA36-29CC-4A34-9FBB-44E23B3CDB91}"/>
  </bookViews>
  <sheets>
    <sheet name="Snapshot" sheetId="40" r:id="rId1"/>
    <sheet name="25-26 Budget-Actual Invoiced" sheetId="38" r:id="rId2"/>
    <sheet name="Q1 ONLY" sheetId="42" r:id="rId3"/>
    <sheet name="Working" sheetId="41" state="hidden" r:id="rId4"/>
  </sheets>
  <definedNames>
    <definedName name="_xlnm._FilterDatabase" localSheetId="1" hidden="1">'25-26 Budget-Actual Invoiced'!$A$2:$P$269</definedName>
    <definedName name="_xlnm._FilterDatabase" localSheetId="3" hidden="1">Working!$A$1:$B$60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40" l="1"/>
  <c r="J12" i="40"/>
  <c r="I11" i="40"/>
  <c r="I9" i="40"/>
  <c r="I7" i="40"/>
  <c r="I15" i="40"/>
  <c r="I16" i="40"/>
  <c r="I17" i="40"/>
  <c r="L81" i="38"/>
  <c r="M81" i="38"/>
  <c r="N81" i="38"/>
  <c r="O81" i="38"/>
  <c r="P81" i="38"/>
  <c r="K81" i="38"/>
  <c r="J46" i="38"/>
  <c r="J47" i="38"/>
  <c r="J81" i="38"/>
  <c r="J82" i="38"/>
  <c r="J120" i="38"/>
  <c r="J121" i="38"/>
  <c r="J143" i="38"/>
  <c r="J144" i="38"/>
  <c r="J177" i="38"/>
  <c r="J178" i="38"/>
  <c r="J195" i="38"/>
  <c r="J196" i="38"/>
  <c r="J212" i="38"/>
  <c r="J213" i="38"/>
  <c r="J253" i="38"/>
  <c r="J254" i="38"/>
  <c r="J265" i="38"/>
  <c r="J269" i="38" s="1"/>
  <c r="J266" i="38"/>
  <c r="H11" i="40"/>
  <c r="H9" i="40"/>
  <c r="H7" i="40"/>
  <c r="F11" i="40"/>
  <c r="G11" i="40"/>
  <c r="G9" i="40"/>
  <c r="G7" i="40"/>
  <c r="F9" i="40"/>
  <c r="F7" i="40"/>
  <c r="L177" i="38"/>
  <c r="M177" i="38"/>
  <c r="N177" i="38"/>
  <c r="O177" i="38"/>
  <c r="P177" i="38"/>
  <c r="L212" i="38"/>
  <c r="M212" i="38"/>
  <c r="N212" i="38"/>
  <c r="O212" i="38"/>
  <c r="P212" i="38"/>
  <c r="F47" i="38"/>
  <c r="G47" i="38"/>
  <c r="H47" i="38"/>
  <c r="I47" i="38"/>
  <c r="K47" i="38"/>
  <c r="L47" i="38"/>
  <c r="M47" i="38"/>
  <c r="N47" i="38"/>
  <c r="O47" i="38"/>
  <c r="P47" i="38"/>
  <c r="E47" i="38"/>
  <c r="F46" i="38"/>
  <c r="G46" i="38"/>
  <c r="L46" i="38"/>
  <c r="M46" i="38"/>
  <c r="N46" i="38"/>
  <c r="O46" i="38"/>
  <c r="P46" i="38"/>
  <c r="E46" i="38"/>
  <c r="F178" i="38"/>
  <c r="G178" i="38"/>
  <c r="H178" i="38"/>
  <c r="I178" i="38"/>
  <c r="K178" i="38"/>
  <c r="L178" i="38"/>
  <c r="M178" i="38"/>
  <c r="N178" i="38"/>
  <c r="O178" i="38"/>
  <c r="P178" i="38"/>
  <c r="E178" i="38"/>
  <c r="F196" i="38"/>
  <c r="G196" i="38"/>
  <c r="H196" i="38"/>
  <c r="I196" i="38"/>
  <c r="K196" i="38"/>
  <c r="L196" i="38"/>
  <c r="M196" i="38"/>
  <c r="N196" i="38"/>
  <c r="O196" i="38"/>
  <c r="P196" i="38"/>
  <c r="E196" i="38"/>
  <c r="F195" i="38"/>
  <c r="G195" i="38"/>
  <c r="L195" i="38"/>
  <c r="M195" i="38"/>
  <c r="N195" i="38"/>
  <c r="O195" i="38"/>
  <c r="P195" i="38"/>
  <c r="E195" i="38"/>
  <c r="Q208" i="38"/>
  <c r="Q206" i="38"/>
  <c r="Q204" i="38"/>
  <c r="Q202" i="38"/>
  <c r="F213" i="38"/>
  <c r="G213" i="38"/>
  <c r="H213" i="38"/>
  <c r="I213" i="38"/>
  <c r="K213" i="38"/>
  <c r="L213" i="38"/>
  <c r="M213" i="38"/>
  <c r="N213" i="38"/>
  <c r="O213" i="38"/>
  <c r="P213" i="38"/>
  <c r="E213" i="38"/>
  <c r="F212" i="38"/>
  <c r="G212" i="38"/>
  <c r="E212" i="38"/>
  <c r="F254" i="38"/>
  <c r="G254" i="38"/>
  <c r="H254" i="38"/>
  <c r="I254" i="38"/>
  <c r="K254" i="38"/>
  <c r="L254" i="38"/>
  <c r="M254" i="38"/>
  <c r="N254" i="38"/>
  <c r="O254" i="38"/>
  <c r="P254" i="38"/>
  <c r="E254" i="38"/>
  <c r="F253" i="38"/>
  <c r="G253" i="38"/>
  <c r="L253" i="38"/>
  <c r="M253" i="38"/>
  <c r="N253" i="38"/>
  <c r="O253" i="38"/>
  <c r="P253" i="38"/>
  <c r="E253" i="38"/>
  <c r="F144" i="38"/>
  <c r="G144" i="38"/>
  <c r="H144" i="38"/>
  <c r="I144" i="38"/>
  <c r="K144" i="38"/>
  <c r="L144" i="38"/>
  <c r="M144" i="38"/>
  <c r="N144" i="38"/>
  <c r="O144" i="38"/>
  <c r="P144" i="38"/>
  <c r="E144" i="38"/>
  <c r="J9" i="40" l="1"/>
  <c r="J7" i="40"/>
  <c r="K195" i="38"/>
  <c r="K253" i="38"/>
  <c r="K212" i="38"/>
  <c r="K177" i="38"/>
  <c r="J49" i="38"/>
  <c r="J50" i="38" s="1"/>
  <c r="J48" i="38"/>
  <c r="K46" i="38"/>
  <c r="J123" i="38"/>
  <c r="J124" i="38" s="1"/>
  <c r="J122" i="38"/>
  <c r="J83" i="38"/>
  <c r="J84" i="38"/>
  <c r="J85" i="38" s="1"/>
  <c r="J273" i="38"/>
  <c r="J145" i="38"/>
  <c r="J146" i="38"/>
  <c r="J147" i="38" s="1"/>
  <c r="J197" i="38"/>
  <c r="J198" i="38"/>
  <c r="J199" i="38" s="1"/>
  <c r="J215" i="38"/>
  <c r="J216" i="38" s="1"/>
  <c r="J214" i="38"/>
  <c r="J272" i="38"/>
  <c r="J180" i="38"/>
  <c r="J181" i="38" s="1"/>
  <c r="J179" i="38"/>
  <c r="J256" i="38"/>
  <c r="J257" i="38" s="1"/>
  <c r="J255" i="38"/>
  <c r="I177" i="38"/>
  <c r="I195" i="38"/>
  <c r="I212" i="38"/>
  <c r="I253" i="38"/>
  <c r="I46" i="38"/>
  <c r="H177" i="38"/>
  <c r="H212" i="38"/>
  <c r="H195" i="38"/>
  <c r="H253" i="38"/>
  <c r="H46" i="38"/>
  <c r="F121" i="38"/>
  <c r="G121" i="38"/>
  <c r="H121" i="38"/>
  <c r="I121" i="38"/>
  <c r="K121" i="38"/>
  <c r="L121" i="38"/>
  <c r="M121" i="38"/>
  <c r="N121" i="38"/>
  <c r="O121" i="38"/>
  <c r="P121" i="38"/>
  <c r="E121" i="38"/>
  <c r="F82" i="38"/>
  <c r="G82" i="38"/>
  <c r="H82" i="38"/>
  <c r="I82" i="38"/>
  <c r="K82" i="38"/>
  <c r="L82" i="38"/>
  <c r="M82" i="38"/>
  <c r="N82" i="38"/>
  <c r="O82" i="38"/>
  <c r="P82" i="38"/>
  <c r="E82" i="38"/>
  <c r="J275" i="38" l="1"/>
  <c r="J276" i="38" s="1"/>
  <c r="J274" i="38"/>
  <c r="F273" i="38"/>
  <c r="G223" i="42"/>
  <c r="E223" i="42"/>
  <c r="G222" i="42"/>
  <c r="E222" i="42"/>
  <c r="E224" i="42" s="1"/>
  <c r="H221" i="42"/>
  <c r="H220" i="42"/>
  <c r="I220" i="42" s="1"/>
  <c r="H219" i="42"/>
  <c r="H218" i="42"/>
  <c r="I218" i="42" s="1"/>
  <c r="H217" i="42"/>
  <c r="H223" i="42" s="1"/>
  <c r="H216" i="42"/>
  <c r="I216" i="42" s="1"/>
  <c r="G211" i="42"/>
  <c r="E211" i="42"/>
  <c r="G210" i="42"/>
  <c r="E210" i="42"/>
  <c r="E212" i="42" s="1"/>
  <c r="H209" i="42"/>
  <c r="H208" i="42"/>
  <c r="H207" i="42"/>
  <c r="I207" i="42" s="1"/>
  <c r="H206" i="42"/>
  <c r="H205" i="42"/>
  <c r="I205" i="42" s="1"/>
  <c r="H204" i="42"/>
  <c r="H203" i="42"/>
  <c r="I203" i="42" s="1"/>
  <c r="H202" i="42"/>
  <c r="H201" i="42"/>
  <c r="I201" i="42" s="1"/>
  <c r="H200" i="42"/>
  <c r="H199" i="42"/>
  <c r="I199" i="42" s="1"/>
  <c r="H198" i="42"/>
  <c r="H197" i="42"/>
  <c r="I197" i="42" s="1"/>
  <c r="H196" i="42"/>
  <c r="H195" i="42"/>
  <c r="I195" i="42" s="1"/>
  <c r="H194" i="42"/>
  <c r="H193" i="42"/>
  <c r="I193" i="42" s="1"/>
  <c r="H192" i="42"/>
  <c r="H191" i="42"/>
  <c r="H190" i="42"/>
  <c r="H189" i="42"/>
  <c r="G184" i="42"/>
  <c r="E184" i="42"/>
  <c r="G183" i="42"/>
  <c r="E183" i="42"/>
  <c r="H181" i="42"/>
  <c r="H180" i="42"/>
  <c r="H178" i="42"/>
  <c r="I178" i="42" s="1"/>
  <c r="H176" i="42"/>
  <c r="H175" i="42"/>
  <c r="H174" i="42"/>
  <c r="H173" i="42"/>
  <c r="H172" i="42"/>
  <c r="G167" i="42"/>
  <c r="E167" i="42"/>
  <c r="G166" i="42"/>
  <c r="E166" i="42"/>
  <c r="E168" i="42" s="1"/>
  <c r="H165" i="42"/>
  <c r="H164" i="42"/>
  <c r="H163" i="42"/>
  <c r="H162" i="42"/>
  <c r="H161" i="42"/>
  <c r="H160" i="42"/>
  <c r="H159" i="42"/>
  <c r="I159" i="42" s="1"/>
  <c r="H158" i="42"/>
  <c r="H157" i="42"/>
  <c r="I157" i="42" s="1"/>
  <c r="H156" i="42"/>
  <c r="H155" i="42"/>
  <c r="I155" i="42" s="1"/>
  <c r="H154" i="42"/>
  <c r="H153" i="42"/>
  <c r="I153" i="42" s="1"/>
  <c r="H152" i="42"/>
  <c r="H151" i="42"/>
  <c r="I151" i="42" s="1"/>
  <c r="H150" i="42"/>
  <c r="H149" i="42"/>
  <c r="I149" i="42" s="1"/>
  <c r="H148" i="42"/>
  <c r="H147" i="42"/>
  <c r="I147" i="42" s="1"/>
  <c r="H146" i="42"/>
  <c r="H145" i="42"/>
  <c r="I145" i="42" s="1"/>
  <c r="H144" i="42"/>
  <c r="H143" i="42"/>
  <c r="I143" i="42" s="1"/>
  <c r="H142" i="42"/>
  <c r="H141" i="42"/>
  <c r="H140" i="42"/>
  <c r="H139" i="42"/>
  <c r="I139" i="42" s="1"/>
  <c r="H138" i="42"/>
  <c r="H137" i="42"/>
  <c r="I137" i="42" s="1"/>
  <c r="H136" i="42"/>
  <c r="H135" i="42"/>
  <c r="H134" i="42"/>
  <c r="H133" i="42"/>
  <c r="H132" i="42"/>
  <c r="H131" i="42"/>
  <c r="I131" i="42" s="1"/>
  <c r="H130" i="42"/>
  <c r="H129" i="42"/>
  <c r="I129" i="42" s="1"/>
  <c r="H128" i="42"/>
  <c r="H127" i="42"/>
  <c r="I127" i="42" s="1"/>
  <c r="H126" i="42"/>
  <c r="H125" i="42"/>
  <c r="I125" i="42" s="1"/>
  <c r="H124" i="42"/>
  <c r="H123" i="42"/>
  <c r="I123" i="42" s="1"/>
  <c r="H122" i="42"/>
  <c r="H121" i="42"/>
  <c r="I121" i="42" s="1"/>
  <c r="H120" i="42"/>
  <c r="H119" i="42"/>
  <c r="I119" i="42" s="1"/>
  <c r="H118" i="42"/>
  <c r="H117" i="42"/>
  <c r="I117" i="42" s="1"/>
  <c r="G112" i="42"/>
  <c r="E112" i="42"/>
  <c r="G111" i="42"/>
  <c r="G114" i="42" s="1"/>
  <c r="G115" i="42" s="1"/>
  <c r="E111" i="42"/>
  <c r="E114" i="42" s="1"/>
  <c r="E115" i="42" s="1"/>
  <c r="H110" i="42"/>
  <c r="H109" i="42"/>
  <c r="H108" i="42"/>
  <c r="H107" i="42"/>
  <c r="H106" i="42"/>
  <c r="H105" i="42"/>
  <c r="I105" i="42" s="1"/>
  <c r="H104" i="42"/>
  <c r="H103" i="42"/>
  <c r="I103" i="42" s="1"/>
  <c r="H102" i="42"/>
  <c r="H101" i="42"/>
  <c r="I101" i="42" s="1"/>
  <c r="H100" i="42"/>
  <c r="H99" i="42"/>
  <c r="H98" i="42"/>
  <c r="H97" i="42"/>
  <c r="H96" i="42"/>
  <c r="H95" i="42"/>
  <c r="H94" i="42"/>
  <c r="H93" i="42"/>
  <c r="H92" i="42"/>
  <c r="H91" i="42"/>
  <c r="H90" i="42"/>
  <c r="H89" i="42"/>
  <c r="H88" i="42"/>
  <c r="H87" i="42"/>
  <c r="I87" i="42" s="1"/>
  <c r="H86" i="42"/>
  <c r="H85" i="42"/>
  <c r="I85" i="42" s="1"/>
  <c r="G80" i="42"/>
  <c r="E80" i="42"/>
  <c r="G79" i="42"/>
  <c r="E79" i="42"/>
  <c r="H78" i="42"/>
  <c r="H77" i="42"/>
  <c r="H76" i="42"/>
  <c r="H75" i="42"/>
  <c r="H74" i="42"/>
  <c r="I74" i="42" s="1"/>
  <c r="H73" i="42"/>
  <c r="H72" i="42"/>
  <c r="I72" i="42" s="1"/>
  <c r="H71" i="42"/>
  <c r="H70" i="42"/>
  <c r="I70" i="42" s="1"/>
  <c r="H69" i="42"/>
  <c r="H68" i="42"/>
  <c r="H67" i="42"/>
  <c r="H66" i="42"/>
  <c r="H65" i="42"/>
  <c r="H64" i="42"/>
  <c r="H63" i="42"/>
  <c r="H62" i="42"/>
  <c r="I62" i="42" s="1"/>
  <c r="H61" i="42"/>
  <c r="H60" i="42"/>
  <c r="H59" i="42"/>
  <c r="H58" i="42"/>
  <c r="I58" i="42" s="1"/>
  <c r="H57" i="42"/>
  <c r="H56" i="42"/>
  <c r="I56" i="42" s="1"/>
  <c r="H55" i="42"/>
  <c r="H54" i="42"/>
  <c r="I54" i="42" s="1"/>
  <c r="H53" i="42"/>
  <c r="H52" i="42"/>
  <c r="I52" i="42" s="1"/>
  <c r="G47" i="42"/>
  <c r="E47" i="42"/>
  <c r="G46" i="42"/>
  <c r="E46" i="42"/>
  <c r="H45" i="42"/>
  <c r="H44" i="42"/>
  <c r="H43" i="42"/>
  <c r="H42" i="42"/>
  <c r="H41" i="42"/>
  <c r="I41" i="42" s="1"/>
  <c r="H40" i="42"/>
  <c r="H39" i="42"/>
  <c r="I39" i="42" s="1"/>
  <c r="H38" i="42"/>
  <c r="H37" i="42"/>
  <c r="I37" i="42" s="1"/>
  <c r="H36" i="42"/>
  <c r="H35" i="42"/>
  <c r="I35" i="42" s="1"/>
  <c r="H34" i="42"/>
  <c r="H33" i="42"/>
  <c r="H32" i="42"/>
  <c r="H31" i="42"/>
  <c r="I31" i="42" s="1"/>
  <c r="H30" i="42"/>
  <c r="H29" i="42"/>
  <c r="I29" i="42" s="1"/>
  <c r="H28" i="42"/>
  <c r="H27" i="42"/>
  <c r="I27" i="42" s="1"/>
  <c r="H26" i="42"/>
  <c r="H25" i="42"/>
  <c r="I25" i="42" s="1"/>
  <c r="H24" i="42"/>
  <c r="H23" i="42"/>
  <c r="I23" i="42" s="1"/>
  <c r="H22" i="42"/>
  <c r="H21" i="42"/>
  <c r="I21" i="42" s="1"/>
  <c r="H20" i="42"/>
  <c r="H19" i="42"/>
  <c r="H18" i="42"/>
  <c r="H17" i="42"/>
  <c r="H16" i="42"/>
  <c r="H15" i="42"/>
  <c r="I15" i="42" s="1"/>
  <c r="H14" i="42"/>
  <c r="H13" i="42"/>
  <c r="I13" i="42" s="1"/>
  <c r="H12" i="42"/>
  <c r="H11" i="42"/>
  <c r="I11" i="42" s="1"/>
  <c r="H10" i="42"/>
  <c r="H9" i="42"/>
  <c r="I9" i="42" s="1"/>
  <c r="H8" i="42"/>
  <c r="H7" i="42"/>
  <c r="I7" i="42" s="1"/>
  <c r="H6" i="42"/>
  <c r="H5" i="42"/>
  <c r="I5" i="42" s="1"/>
  <c r="H4" i="42"/>
  <c r="H3" i="42"/>
  <c r="F120" i="38"/>
  <c r="G120" i="38"/>
  <c r="H120" i="38"/>
  <c r="I120" i="38"/>
  <c r="K120" i="38"/>
  <c r="L120" i="38"/>
  <c r="M120" i="38"/>
  <c r="N120" i="38"/>
  <c r="O120" i="38"/>
  <c r="P120" i="38"/>
  <c r="E120" i="38"/>
  <c r="F143" i="38"/>
  <c r="G143" i="38"/>
  <c r="H143" i="38"/>
  <c r="I143" i="38"/>
  <c r="K143" i="38"/>
  <c r="L143" i="38"/>
  <c r="M143" i="38"/>
  <c r="N143" i="38"/>
  <c r="O143" i="38"/>
  <c r="P143" i="38"/>
  <c r="E143" i="38"/>
  <c r="F81" i="38"/>
  <c r="Q241" i="38"/>
  <c r="Q240" i="38"/>
  <c r="Q239" i="38"/>
  <c r="Q238" i="38"/>
  <c r="Q22" i="38"/>
  <c r="S22" i="38" s="1"/>
  <c r="Q21" i="38"/>
  <c r="Q20" i="38"/>
  <c r="S20" i="38" s="1"/>
  <c r="Q19" i="38"/>
  <c r="Q18" i="38"/>
  <c r="S18" i="38" s="1"/>
  <c r="Q17" i="38"/>
  <c r="Q142" i="38"/>
  <c r="Q141" i="38"/>
  <c r="Q140" i="38"/>
  <c r="Q139" i="38"/>
  <c r="Q138" i="38"/>
  <c r="Q137" i="38"/>
  <c r="Q136" i="38"/>
  <c r="Q135" i="38"/>
  <c r="Q134" i="38"/>
  <c r="Q133" i="38"/>
  <c r="Q132" i="38"/>
  <c r="Q131" i="38"/>
  <c r="Q130" i="38"/>
  <c r="Q129" i="38"/>
  <c r="Q128" i="38"/>
  <c r="Q127" i="38"/>
  <c r="Q126" i="38"/>
  <c r="Q116" i="38"/>
  <c r="Q115" i="38"/>
  <c r="Q114" i="38"/>
  <c r="Q113" i="38"/>
  <c r="Q119" i="38"/>
  <c r="Q118" i="38"/>
  <c r="Q117" i="38"/>
  <c r="Q112" i="38"/>
  <c r="Q111" i="38"/>
  <c r="Q110" i="38"/>
  <c r="Q109" i="38"/>
  <c r="Q108" i="38"/>
  <c r="Q107" i="38"/>
  <c r="Q106" i="38"/>
  <c r="Q105" i="38"/>
  <c r="Q104" i="38"/>
  <c r="Q103" i="38"/>
  <c r="Q102" i="38"/>
  <c r="Q101" i="38"/>
  <c r="Q100" i="38"/>
  <c r="Q99" i="38"/>
  <c r="Q98" i="38"/>
  <c r="Q97" i="38"/>
  <c r="Q96" i="38"/>
  <c r="Q95" i="38"/>
  <c r="Q94" i="38"/>
  <c r="Q93" i="38"/>
  <c r="Q92" i="38"/>
  <c r="Q91" i="38"/>
  <c r="Q90" i="38"/>
  <c r="Q89" i="38"/>
  <c r="Q88" i="38"/>
  <c r="Q87" i="38"/>
  <c r="Q77" i="38"/>
  <c r="Q76" i="38"/>
  <c r="I81" i="38"/>
  <c r="H81" i="38"/>
  <c r="G81" i="38"/>
  <c r="E81" i="38"/>
  <c r="Q80" i="38"/>
  <c r="Q79" i="38"/>
  <c r="Q78" i="38"/>
  <c r="Q75" i="38"/>
  <c r="Q74" i="38"/>
  <c r="Q73" i="38"/>
  <c r="Q72" i="38"/>
  <c r="Q71" i="38"/>
  <c r="Q70" i="38"/>
  <c r="Q69" i="38"/>
  <c r="Q68" i="38"/>
  <c r="Q67" i="38"/>
  <c r="Q66" i="38"/>
  <c r="Q65" i="38"/>
  <c r="Q64" i="38"/>
  <c r="Q63" i="38"/>
  <c r="Q62" i="38"/>
  <c r="Q61" i="38"/>
  <c r="Q60" i="38"/>
  <c r="Q59" i="38"/>
  <c r="Q58" i="38"/>
  <c r="Q57" i="38"/>
  <c r="Q56" i="38"/>
  <c r="Q55" i="38"/>
  <c r="Q54" i="38"/>
  <c r="Q53" i="38"/>
  <c r="Q52" i="38"/>
  <c r="G212" i="42" l="1"/>
  <c r="I89" i="42"/>
  <c r="I107" i="42"/>
  <c r="E81" i="42"/>
  <c r="I3" i="42"/>
  <c r="E49" i="42"/>
  <c r="E50" i="42" s="1"/>
  <c r="I99" i="42"/>
  <c r="I91" i="42"/>
  <c r="I95" i="42"/>
  <c r="I64" i="42"/>
  <c r="I19" i="42"/>
  <c r="I43" i="42"/>
  <c r="G48" i="42"/>
  <c r="R72" i="38"/>
  <c r="R19" i="38"/>
  <c r="Q144" i="38"/>
  <c r="R91" i="38"/>
  <c r="I76" i="42"/>
  <c r="G81" i="42"/>
  <c r="I60" i="42"/>
  <c r="I66" i="42"/>
  <c r="I68" i="42"/>
  <c r="I93" i="42"/>
  <c r="I141" i="42"/>
  <c r="G169" i="42"/>
  <c r="G170" i="42" s="1"/>
  <c r="I133" i="42"/>
  <c r="I135" i="42"/>
  <c r="I189" i="42"/>
  <c r="G224" i="42"/>
  <c r="E230" i="42"/>
  <c r="Q82" i="38"/>
  <c r="R134" i="38"/>
  <c r="R115" i="38"/>
  <c r="R240" i="38"/>
  <c r="R89" i="38"/>
  <c r="R17" i="38"/>
  <c r="R128" i="38"/>
  <c r="R62" i="38"/>
  <c r="R132" i="38"/>
  <c r="R101" i="38"/>
  <c r="R60" i="38"/>
  <c r="R21" i="38"/>
  <c r="R126" i="38"/>
  <c r="G146" i="38"/>
  <c r="G147" i="38" s="1"/>
  <c r="P146" i="38"/>
  <c r="P147" i="38" s="1"/>
  <c r="I174" i="42"/>
  <c r="I176" i="42"/>
  <c r="G186" i="42"/>
  <c r="G187" i="42" s="1"/>
  <c r="E186" i="42"/>
  <c r="E187" i="42" s="1"/>
  <c r="I172" i="42"/>
  <c r="H184" i="42"/>
  <c r="G230" i="42"/>
  <c r="H166" i="42"/>
  <c r="H210" i="42"/>
  <c r="H213" i="42" s="1"/>
  <c r="H214" i="42" s="1"/>
  <c r="H211" i="42"/>
  <c r="H212" i="42" s="1"/>
  <c r="H47" i="42"/>
  <c r="H111" i="42"/>
  <c r="G168" i="42"/>
  <c r="E48" i="42"/>
  <c r="G49" i="42"/>
  <c r="G50" i="42" s="1"/>
  <c r="I97" i="42"/>
  <c r="H222" i="42"/>
  <c r="H225" i="42" s="1"/>
  <c r="H226" i="42" s="1"/>
  <c r="E185" i="42"/>
  <c r="G213" i="42"/>
  <c r="G214" i="42" s="1"/>
  <c r="I109" i="42"/>
  <c r="I161" i="42"/>
  <c r="H80" i="42"/>
  <c r="H167" i="42"/>
  <c r="I191" i="42"/>
  <c r="E113" i="42"/>
  <c r="G113" i="42"/>
  <c r="H183" i="42"/>
  <c r="H46" i="42"/>
  <c r="I17" i="42"/>
  <c r="H79" i="42"/>
  <c r="I180" i="42"/>
  <c r="I33" i="42"/>
  <c r="G82" i="42"/>
  <c r="G83" i="42" s="1"/>
  <c r="E213" i="42"/>
  <c r="E214" i="42" s="1"/>
  <c r="E82" i="42"/>
  <c r="E83" i="42" s="1"/>
  <c r="H112" i="42"/>
  <c r="H114" i="42" s="1"/>
  <c r="H115" i="42" s="1"/>
  <c r="I210" i="42"/>
  <c r="E229" i="42"/>
  <c r="E169" i="42"/>
  <c r="E170" i="42" s="1"/>
  <c r="G185" i="42"/>
  <c r="G229" i="42"/>
  <c r="H224" i="42"/>
  <c r="E225" i="42"/>
  <c r="E226" i="42" s="1"/>
  <c r="O146" i="38"/>
  <c r="O147" i="38" s="1"/>
  <c r="R238" i="38"/>
  <c r="N146" i="38"/>
  <c r="N147" i="38" s="1"/>
  <c r="M146" i="38"/>
  <c r="M147" i="38" s="1"/>
  <c r="R70" i="38"/>
  <c r="Q143" i="38"/>
  <c r="R64" i="38"/>
  <c r="L146" i="38"/>
  <c r="L147" i="38" s="1"/>
  <c r="Q121" i="38"/>
  <c r="Q120" i="38"/>
  <c r="E146" i="38"/>
  <c r="E147" i="38" s="1"/>
  <c r="K146" i="38"/>
  <c r="K147" i="38" s="1"/>
  <c r="K145" i="38"/>
  <c r="M145" i="38"/>
  <c r="R95" i="38"/>
  <c r="R105" i="38"/>
  <c r="P145" i="38"/>
  <c r="H146" i="38"/>
  <c r="H147" i="38" s="1"/>
  <c r="N145" i="38"/>
  <c r="O145" i="38"/>
  <c r="I146" i="38"/>
  <c r="I147" i="38" s="1"/>
  <c r="G145" i="38"/>
  <c r="H145" i="38"/>
  <c r="I145" i="38"/>
  <c r="L145" i="38"/>
  <c r="E145" i="38"/>
  <c r="R113" i="38"/>
  <c r="R74" i="38"/>
  <c r="R103" i="38"/>
  <c r="R136" i="38"/>
  <c r="R107" i="38"/>
  <c r="R109" i="38"/>
  <c r="R87" i="38"/>
  <c r="R111" i="38"/>
  <c r="R66" i="38"/>
  <c r="R130" i="38"/>
  <c r="R58" i="38"/>
  <c r="R97" i="38"/>
  <c r="O122" i="38"/>
  <c r="R52" i="38"/>
  <c r="R138" i="38"/>
  <c r="R93" i="38"/>
  <c r="E123" i="38"/>
  <c r="E124" i="38" s="1"/>
  <c r="H122" i="38"/>
  <c r="K123" i="38"/>
  <c r="K124" i="38" s="1"/>
  <c r="E84" i="38"/>
  <c r="E85" i="38" s="1"/>
  <c r="P122" i="38"/>
  <c r="G123" i="38"/>
  <c r="G124" i="38" s="1"/>
  <c r="I122" i="38"/>
  <c r="L123" i="38"/>
  <c r="L124" i="38" s="1"/>
  <c r="R140" i="38"/>
  <c r="M122" i="38"/>
  <c r="N122" i="38"/>
  <c r="M123" i="38"/>
  <c r="M124" i="38" s="1"/>
  <c r="N123" i="38"/>
  <c r="N124" i="38" s="1"/>
  <c r="O123" i="38"/>
  <c r="O124" i="38" s="1"/>
  <c r="P123" i="38"/>
  <c r="P124" i="38" s="1"/>
  <c r="K83" i="38"/>
  <c r="L83" i="38"/>
  <c r="M83" i="38"/>
  <c r="E122" i="38"/>
  <c r="N83" i="38"/>
  <c r="G122" i="38"/>
  <c r="O83" i="38"/>
  <c r="P83" i="38"/>
  <c r="K122" i="38"/>
  <c r="R68" i="38"/>
  <c r="R99" i="38"/>
  <c r="L122" i="38"/>
  <c r="H123" i="38"/>
  <c r="H124" i="38" s="1"/>
  <c r="I123" i="38"/>
  <c r="I124" i="38" s="1"/>
  <c r="R117" i="38"/>
  <c r="R76" i="38"/>
  <c r="G84" i="38"/>
  <c r="G85" i="38" s="1"/>
  <c r="H84" i="38"/>
  <c r="H85" i="38" s="1"/>
  <c r="N84" i="38"/>
  <c r="N85" i="38" s="1"/>
  <c r="I83" i="38"/>
  <c r="Q81" i="38"/>
  <c r="P84" i="38"/>
  <c r="P85" i="38" s="1"/>
  <c r="R54" i="38"/>
  <c r="K84" i="38"/>
  <c r="K85" i="38" s="1"/>
  <c r="O84" i="38"/>
  <c r="O85" i="38" s="1"/>
  <c r="E83" i="38"/>
  <c r="M84" i="38"/>
  <c r="M85" i="38" s="1"/>
  <c r="R56" i="38"/>
  <c r="G83" i="38"/>
  <c r="H83" i="38"/>
  <c r="R78" i="38"/>
  <c r="L84" i="38"/>
  <c r="L85" i="38" s="1"/>
  <c r="I84" i="38"/>
  <c r="I85" i="38" s="1"/>
  <c r="H48" i="42" l="1"/>
  <c r="I46" i="42"/>
  <c r="H49" i="42"/>
  <c r="H50" i="42" s="1"/>
  <c r="H169" i="42"/>
  <c r="H170" i="42" s="1"/>
  <c r="I222" i="42"/>
  <c r="Q146" i="38"/>
  <c r="Q147" i="38" s="1"/>
  <c r="H185" i="42"/>
  <c r="I166" i="42"/>
  <c r="H168" i="42"/>
  <c r="H186" i="42"/>
  <c r="H187" i="42" s="1"/>
  <c r="I183" i="42"/>
  <c r="H229" i="42"/>
  <c r="I111" i="42"/>
  <c r="H82" i="42"/>
  <c r="H83" i="42" s="1"/>
  <c r="H81" i="42"/>
  <c r="I79" i="42"/>
  <c r="H113" i="42"/>
  <c r="H230" i="42"/>
  <c r="G231" i="42"/>
  <c r="G232" i="42"/>
  <c r="G233" i="42" s="1"/>
  <c r="E231" i="42"/>
  <c r="E232" i="42"/>
  <c r="E233" i="42" s="1"/>
  <c r="Q145" i="38"/>
  <c r="Q123" i="38"/>
  <c r="Q124" i="38" s="1"/>
  <c r="R120" i="38"/>
  <c r="R143" i="38"/>
  <c r="Q122" i="38"/>
  <c r="R81" i="38"/>
  <c r="Q84" i="38"/>
  <c r="Q85" i="38" s="1"/>
  <c r="Q83" i="38"/>
  <c r="J92" i="42" l="1"/>
  <c r="J32" i="42"/>
  <c r="J177" i="42"/>
  <c r="J94" i="42"/>
  <c r="J16" i="42"/>
  <c r="J8" i="42"/>
  <c r="J104" i="42"/>
  <c r="J40" i="42"/>
  <c r="J28" i="42"/>
  <c r="J196" i="42"/>
  <c r="J175" i="42"/>
  <c r="J4" i="42"/>
  <c r="J20" i="42"/>
  <c r="J130" i="42"/>
  <c r="J206" i="42"/>
  <c r="J10" i="42"/>
  <c r="J179" i="42"/>
  <c r="J194" i="42"/>
  <c r="J86" i="42"/>
  <c r="J34" i="42"/>
  <c r="J154" i="42"/>
  <c r="J96" i="42"/>
  <c r="J98" i="42"/>
  <c r="J22" i="42"/>
  <c r="J108" i="42"/>
  <c r="J118" i="42"/>
  <c r="J181" i="42"/>
  <c r="J110" i="42"/>
  <c r="J142" i="42"/>
  <c r="J140" i="42"/>
  <c r="J80" i="42"/>
  <c r="J150" i="42"/>
  <c r="J57" i="42"/>
  <c r="J45" i="42"/>
  <c r="J146" i="42"/>
  <c r="J173" i="42"/>
  <c r="J144" i="42"/>
  <c r="J202" i="42"/>
  <c r="J132" i="42"/>
  <c r="J61" i="42"/>
  <c r="J136" i="42"/>
  <c r="J198" i="42"/>
  <c r="J122" i="42"/>
  <c r="J100" i="42"/>
  <c r="J138" i="42"/>
  <c r="J106" i="42"/>
  <c r="J24" i="42"/>
  <c r="J124" i="42"/>
  <c r="J63" i="42"/>
  <c r="J162" i="42"/>
  <c r="J75" i="42"/>
  <c r="J209" i="42"/>
  <c r="J38" i="42"/>
  <c r="J165" i="42"/>
  <c r="J120" i="42"/>
  <c r="J158" i="42"/>
  <c r="J184" i="42"/>
  <c r="J69" i="42"/>
  <c r="J59" i="42"/>
  <c r="J53" i="42"/>
  <c r="J204" i="42"/>
  <c r="J160" i="42"/>
  <c r="J128" i="42"/>
  <c r="J65" i="42"/>
  <c r="J90" i="42"/>
  <c r="J73" i="42"/>
  <c r="J223" i="42"/>
  <c r="J30" i="42"/>
  <c r="J26" i="42"/>
  <c r="J67" i="42"/>
  <c r="J71" i="42"/>
  <c r="J78" i="42"/>
  <c r="J167" i="42"/>
  <c r="J88" i="42"/>
  <c r="J14" i="42"/>
  <c r="J219" i="42"/>
  <c r="J126" i="42"/>
  <c r="J47" i="42"/>
  <c r="J156" i="42"/>
  <c r="J152" i="42"/>
  <c r="J190" i="42"/>
  <c r="J192" i="42"/>
  <c r="J36" i="42"/>
  <c r="J102" i="42"/>
  <c r="J211" i="42"/>
  <c r="J55" i="42"/>
  <c r="J148" i="42"/>
  <c r="J221" i="42"/>
  <c r="J134" i="42"/>
  <c r="J18" i="42"/>
  <c r="J200" i="42"/>
  <c r="J6" i="42"/>
  <c r="J12" i="42"/>
  <c r="J42" i="42"/>
  <c r="J230" i="42"/>
  <c r="H231" i="42"/>
  <c r="J112" i="42"/>
  <c r="H232" i="42"/>
  <c r="H233" i="42" s="1"/>
  <c r="I229" i="42"/>
  <c r="D14" i="40"/>
  <c r="Q41" i="38" l="1"/>
  <c r="Q39" i="38"/>
  <c r="Q37" i="38"/>
  <c r="Q35" i="38"/>
  <c r="Q33" i="38"/>
  <c r="Q31" i="38"/>
  <c r="Q29" i="38"/>
  <c r="Q27" i="38"/>
  <c r="Q25" i="38"/>
  <c r="Q23" i="38"/>
  <c r="Q15" i="38"/>
  <c r="Q11" i="38"/>
  <c r="Q9" i="38"/>
  <c r="Q7" i="38"/>
  <c r="Q5" i="38"/>
  <c r="Q3" i="38"/>
  <c r="Q13" i="38"/>
  <c r="D15" i="40"/>
  <c r="D16" i="40"/>
  <c r="D17" i="40" s="1"/>
  <c r="Q4" i="38"/>
  <c r="Q6" i="38"/>
  <c r="Q8" i="38"/>
  <c r="Q10" i="38"/>
  <c r="Q12" i="38"/>
  <c r="Q14" i="38"/>
  <c r="Q16" i="38"/>
  <c r="Q24" i="38"/>
  <c r="Q26" i="38"/>
  <c r="Q28" i="38"/>
  <c r="Q30" i="38"/>
  <c r="Q32" i="38"/>
  <c r="Q34" i="38"/>
  <c r="Q36" i="38"/>
  <c r="Q38" i="38"/>
  <c r="Q40" i="38"/>
  <c r="Q42" i="38"/>
  <c r="Q44" i="38"/>
  <c r="Q45" i="38"/>
  <c r="G265" i="38"/>
  <c r="G266" i="38"/>
  <c r="G273" i="38" s="1"/>
  <c r="Q47" i="38" l="1"/>
  <c r="E14" i="40"/>
  <c r="G255" i="38"/>
  <c r="G198" i="38"/>
  <c r="G199" i="38" s="1"/>
  <c r="G48" i="38"/>
  <c r="G177" i="38"/>
  <c r="G179" i="38" s="1"/>
  <c r="G215" i="38"/>
  <c r="G216" i="38" s="1"/>
  <c r="Q43" i="38"/>
  <c r="Q46" i="38" s="1"/>
  <c r="G267" i="38"/>
  <c r="C7" i="40"/>
  <c r="C9" i="40"/>
  <c r="E16" i="40" l="1"/>
  <c r="E17" i="40" s="1"/>
  <c r="E15" i="40"/>
  <c r="G49" i="38"/>
  <c r="G50" i="38" s="1"/>
  <c r="G197" i="38"/>
  <c r="G256" i="38"/>
  <c r="G257" i="38" s="1"/>
  <c r="G180" i="38"/>
  <c r="G181" i="38" s="1"/>
  <c r="G214" i="38"/>
  <c r="G274" i="38" l="1"/>
  <c r="G275" i="38"/>
  <c r="G276" i="38" s="1"/>
  <c r="D33" i="40"/>
  <c r="E33" i="40"/>
  <c r="F33" i="40"/>
  <c r="G33" i="40"/>
  <c r="H33" i="40"/>
  <c r="I33" i="40"/>
  <c r="J33" i="40"/>
  <c r="K33" i="40"/>
  <c r="L33" i="40"/>
  <c r="M33" i="40"/>
  <c r="N33" i="40"/>
  <c r="D34" i="40"/>
  <c r="E34" i="40"/>
  <c r="F34" i="40"/>
  <c r="G34" i="40"/>
  <c r="H34" i="40"/>
  <c r="I34" i="40"/>
  <c r="J34" i="40"/>
  <c r="K34" i="40"/>
  <c r="L34" i="40"/>
  <c r="M34" i="40"/>
  <c r="N34" i="40"/>
  <c r="C34" i="40"/>
  <c r="C33" i="40"/>
  <c r="O32" i="40"/>
  <c r="O31" i="40"/>
  <c r="O30" i="40"/>
  <c r="O29" i="40"/>
  <c r="N11" i="40"/>
  <c r="M11" i="40"/>
  <c r="L11" i="40"/>
  <c r="K11" i="40"/>
  <c r="O10" i="40"/>
  <c r="O11" i="40" s="1"/>
  <c r="O8" i="40"/>
  <c r="N7" i="40"/>
  <c r="M7" i="40"/>
  <c r="L7" i="40"/>
  <c r="K7" i="40"/>
  <c r="O6" i="40"/>
  <c r="Q252" i="38"/>
  <c r="O20" i="40"/>
  <c r="O21" i="40"/>
  <c r="O22" i="40"/>
  <c r="O23" i="40"/>
  <c r="O24" i="40"/>
  <c r="O25" i="40"/>
  <c r="O26" i="40"/>
  <c r="O27" i="40"/>
  <c r="O28" i="40"/>
  <c r="O19" i="40"/>
  <c r="O7" i="40" l="1"/>
  <c r="O34" i="40"/>
  <c r="O33" i="40"/>
  <c r="H265" i="38" l="1"/>
  <c r="I265" i="38"/>
  <c r="K265" i="38"/>
  <c r="L265" i="38"/>
  <c r="M265" i="38"/>
  <c r="N265" i="38"/>
  <c r="N272" i="38" s="1"/>
  <c r="O265" i="38"/>
  <c r="P265" i="38"/>
  <c r="H266" i="38"/>
  <c r="H273" i="38" s="1"/>
  <c r="I266" i="38"/>
  <c r="I273" i="38" s="1"/>
  <c r="K266" i="38"/>
  <c r="K273" i="38" s="1"/>
  <c r="L266" i="38"/>
  <c r="L273" i="38" s="1"/>
  <c r="M266" i="38"/>
  <c r="M273" i="38" s="1"/>
  <c r="N266" i="38"/>
  <c r="N273" i="38" s="1"/>
  <c r="O266" i="38"/>
  <c r="O273" i="38" s="1"/>
  <c r="P266" i="38"/>
  <c r="P273" i="38" s="1"/>
  <c r="E265" i="38"/>
  <c r="E266" i="38"/>
  <c r="E273" i="38" s="1"/>
  <c r="E177" i="38"/>
  <c r="Q264" i="38"/>
  <c r="Q263" i="38"/>
  <c r="Q262" i="38"/>
  <c r="Q261" i="38"/>
  <c r="Q260" i="38"/>
  <c r="Q259" i="38"/>
  <c r="Q251" i="38"/>
  <c r="Q250" i="38"/>
  <c r="Q249" i="38"/>
  <c r="Q248" i="38"/>
  <c r="Q247" i="38"/>
  <c r="Q246" i="38"/>
  <c r="Q245" i="38"/>
  <c r="Q244" i="38"/>
  <c r="Q243" i="38"/>
  <c r="Q242" i="38"/>
  <c r="Q237" i="38"/>
  <c r="Q236" i="38"/>
  <c r="Q235" i="38"/>
  <c r="Q234" i="38"/>
  <c r="Q223" i="38"/>
  <c r="Q222" i="38"/>
  <c r="Q221" i="38"/>
  <c r="Q220" i="38"/>
  <c r="Q219" i="38"/>
  <c r="Q218" i="38"/>
  <c r="Q211" i="38"/>
  <c r="Q213" i="38" s="1"/>
  <c r="Q207" i="38"/>
  <c r="Q205" i="38"/>
  <c r="Q203" i="38"/>
  <c r="Q201" i="38"/>
  <c r="Q172" i="38"/>
  <c r="Q171" i="38"/>
  <c r="Q194" i="38"/>
  <c r="Q193" i="38"/>
  <c r="Q231" i="38"/>
  <c r="Q230" i="38"/>
  <c r="Q229" i="38"/>
  <c r="Q228" i="38"/>
  <c r="Q233" i="38"/>
  <c r="Q232" i="38"/>
  <c r="Q227" i="38"/>
  <c r="Q226" i="38"/>
  <c r="Q190" i="38"/>
  <c r="Q189" i="38"/>
  <c r="Q188" i="38"/>
  <c r="Q187" i="38"/>
  <c r="Q225" i="38"/>
  <c r="Q224" i="38"/>
  <c r="Q186" i="38"/>
  <c r="Q185" i="38"/>
  <c r="Q184" i="38"/>
  <c r="Q183" i="38"/>
  <c r="Q176" i="38"/>
  <c r="Q175" i="38"/>
  <c r="Q174" i="38"/>
  <c r="Q173" i="38"/>
  <c r="Q170" i="38"/>
  <c r="Q169" i="38"/>
  <c r="Q168" i="38"/>
  <c r="Q167" i="38"/>
  <c r="Q166" i="38"/>
  <c r="Q165" i="38"/>
  <c r="Q164" i="38"/>
  <c r="Q163" i="38"/>
  <c r="Q162" i="38"/>
  <c r="Q161" i="38"/>
  <c r="Q160" i="38"/>
  <c r="Q159" i="38"/>
  <c r="Q158" i="38"/>
  <c r="Q157" i="38"/>
  <c r="Q156" i="38"/>
  <c r="Q155" i="38"/>
  <c r="Q154" i="38"/>
  <c r="Q153" i="38"/>
  <c r="Q152" i="38"/>
  <c r="Q151" i="38"/>
  <c r="Q150" i="38"/>
  <c r="Q149" i="38"/>
  <c r="Q192" i="38"/>
  <c r="Q191" i="38"/>
  <c r="H272" i="38" l="1"/>
  <c r="P272" i="38"/>
  <c r="N13" i="40" s="1"/>
  <c r="O272" i="38"/>
  <c r="M13" i="40" s="1"/>
  <c r="M272" i="38"/>
  <c r="K13" i="40" s="1"/>
  <c r="Q195" i="38"/>
  <c r="Q196" i="38"/>
  <c r="L272" i="38"/>
  <c r="K272" i="38"/>
  <c r="I272" i="38"/>
  <c r="Q178" i="38"/>
  <c r="Q254" i="38"/>
  <c r="C14" i="40"/>
  <c r="N14" i="40"/>
  <c r="I14" i="40"/>
  <c r="G14" i="40"/>
  <c r="L13" i="40"/>
  <c r="R250" i="38"/>
  <c r="Q253" i="38"/>
  <c r="H14" i="40"/>
  <c r="F14" i="40"/>
  <c r="M14" i="40"/>
  <c r="K14" i="40"/>
  <c r="L14" i="40"/>
  <c r="J14" i="40"/>
  <c r="Q266" i="38"/>
  <c r="Q265" i="38"/>
  <c r="Q177" i="38"/>
  <c r="E256" i="38"/>
  <c r="H16" i="40" l="1"/>
  <c r="H17" i="40" s="1"/>
  <c r="H15" i="40"/>
  <c r="G15" i="40"/>
  <c r="G16" i="40"/>
  <c r="G17" i="40" s="1"/>
  <c r="F16" i="40"/>
  <c r="F17" i="40" s="1"/>
  <c r="F15" i="40"/>
  <c r="Q273" i="38"/>
  <c r="N15" i="40"/>
  <c r="N16" i="40"/>
  <c r="N17" i="40" s="1"/>
  <c r="L15" i="40"/>
  <c r="L16" i="40"/>
  <c r="L17" i="40" s="1"/>
  <c r="M15" i="40"/>
  <c r="M16" i="40"/>
  <c r="M17" i="40" s="1"/>
  <c r="J15" i="40"/>
  <c r="J16" i="40"/>
  <c r="J17" i="40" s="1"/>
  <c r="K15" i="40"/>
  <c r="K16" i="40"/>
  <c r="K17" i="40" s="1"/>
  <c r="C11" i="40"/>
  <c r="C15" i="40"/>
  <c r="C16" i="40"/>
  <c r="O14" i="40"/>
  <c r="O15" i="40" s="1"/>
  <c r="S239" i="38" l="1"/>
  <c r="S241" i="38"/>
  <c r="S129" i="38"/>
  <c r="S137" i="38"/>
  <c r="S127" i="38"/>
  <c r="S135" i="38"/>
  <c r="S131" i="38"/>
  <c r="S142" i="38"/>
  <c r="S139" i="38"/>
  <c r="S133" i="38"/>
  <c r="S144" i="38"/>
  <c r="S114" i="38"/>
  <c r="S116" i="38"/>
  <c r="S77" i="38"/>
  <c r="S98" i="38"/>
  <c r="S108" i="38"/>
  <c r="S110" i="38"/>
  <c r="S112" i="38"/>
  <c r="S92" i="38"/>
  <c r="S106" i="38"/>
  <c r="S121" i="38"/>
  <c r="S119" i="38"/>
  <c r="S100" i="38"/>
  <c r="S90" i="38"/>
  <c r="S104" i="38"/>
  <c r="S102" i="38"/>
  <c r="S94" i="38"/>
  <c r="S88" i="38"/>
  <c r="S96" i="38"/>
  <c r="S73" i="38"/>
  <c r="S61" i="38"/>
  <c r="S80" i="38"/>
  <c r="S63" i="38"/>
  <c r="S55" i="38"/>
  <c r="S69" i="38"/>
  <c r="S57" i="38"/>
  <c r="S71" i="38"/>
  <c r="S59" i="38"/>
  <c r="S67" i="38"/>
  <c r="S65" i="38"/>
  <c r="S75" i="38"/>
  <c r="S82" i="38"/>
  <c r="S53" i="38"/>
  <c r="C17" i="40"/>
  <c r="O16" i="40"/>
  <c r="O17" i="40" s="1"/>
  <c r="S47" i="38"/>
  <c r="S266" i="38"/>
  <c r="S178" i="38"/>
  <c r="S196" i="38"/>
  <c r="S213" i="38"/>
  <c r="S254" i="38"/>
  <c r="R31" i="38"/>
  <c r="R39" i="38"/>
  <c r="R27" i="38" l="1"/>
  <c r="R5" i="38"/>
  <c r="H48" i="38" l="1"/>
  <c r="E49" i="38"/>
  <c r="E50" i="38" s="1"/>
  <c r="I48" i="38"/>
  <c r="H49" i="38"/>
  <c r="H50" i="38" s="1"/>
  <c r="M49" i="38"/>
  <c r="N49" i="38"/>
  <c r="L49" i="38"/>
  <c r="K48" i="38"/>
  <c r="K49" i="38"/>
  <c r="K50" i="38" s="1"/>
  <c r="I49" i="38"/>
  <c r="I50" i="38" s="1"/>
  <c r="E48" i="38"/>
  <c r="R246" i="38" l="1"/>
  <c r="P269" i="38"/>
  <c r="O269" i="38"/>
  <c r="M269" i="38"/>
  <c r="L269" i="38"/>
  <c r="K269" i="38"/>
  <c r="I269" i="38"/>
  <c r="H269" i="38"/>
  <c r="R230" i="38"/>
  <c r="R228" i="38"/>
  <c r="R226" i="38"/>
  <c r="R189" i="38"/>
  <c r="O49" i="38"/>
  <c r="R205" i="38" l="1"/>
  <c r="I255" i="38"/>
  <c r="R261" i="38"/>
  <c r="R207" i="38"/>
  <c r="N256" i="38"/>
  <c r="N257" i="38" s="1"/>
  <c r="I214" i="38"/>
  <c r="N214" i="38"/>
  <c r="H214" i="38"/>
  <c r="R203" i="38"/>
  <c r="K214" i="38"/>
  <c r="L214" i="38"/>
  <c r="M214" i="38"/>
  <c r="R232" i="38"/>
  <c r="R37" i="38"/>
  <c r="R7" i="38"/>
  <c r="M198" i="38"/>
  <c r="M199" i="38" s="1"/>
  <c r="R224" i="38"/>
  <c r="O198" i="38"/>
  <c r="O199" i="38" s="1"/>
  <c r="P197" i="38"/>
  <c r="E198" i="38"/>
  <c r="E199" i="38" s="1"/>
  <c r="R263" i="38"/>
  <c r="P255" i="38"/>
  <c r="R242" i="38"/>
  <c r="E257" i="38"/>
  <c r="R234" i="38"/>
  <c r="H256" i="38"/>
  <c r="H257" i="38" s="1"/>
  <c r="R218" i="38"/>
  <c r="K197" i="38"/>
  <c r="R193" i="38"/>
  <c r="R11" i="38"/>
  <c r="R33" i="38"/>
  <c r="L198" i="38"/>
  <c r="L199" i="38" s="1"/>
  <c r="R9" i="38"/>
  <c r="R29" i="38"/>
  <c r="P49" i="38"/>
  <c r="R23" i="38"/>
  <c r="R3" i="38"/>
  <c r="R15" i="38"/>
  <c r="O255" i="38"/>
  <c r="R191" i="38"/>
  <c r="K198" i="38"/>
  <c r="K199" i="38" s="1"/>
  <c r="R155" i="38"/>
  <c r="R167" i="38"/>
  <c r="R185" i="38"/>
  <c r="R25" i="38"/>
  <c r="R41" i="38"/>
  <c r="R165" i="38"/>
  <c r="R183" i="38"/>
  <c r="R171" i="38"/>
  <c r="R220" i="38"/>
  <c r="R248" i="38"/>
  <c r="P214" i="38"/>
  <c r="P198" i="38"/>
  <c r="P199" i="38" s="1"/>
  <c r="O215" i="38"/>
  <c r="O216" i="38" s="1"/>
  <c r="R201" i="38"/>
  <c r="P180" i="38"/>
  <c r="P181" i="38" s="1"/>
  <c r="R153" i="38"/>
  <c r="H180" i="38"/>
  <c r="H181" i="38" s="1"/>
  <c r="I180" i="38"/>
  <c r="I181" i="38" s="1"/>
  <c r="M180" i="38"/>
  <c r="M181" i="38" s="1"/>
  <c r="R43" i="38"/>
  <c r="N179" i="38"/>
  <c r="H255" i="38"/>
  <c r="L197" i="38"/>
  <c r="R236" i="38"/>
  <c r="H179" i="38"/>
  <c r="R161" i="38"/>
  <c r="O214" i="38"/>
  <c r="P215" i="38"/>
  <c r="P216" i="38" s="1"/>
  <c r="R163" i="38"/>
  <c r="E255" i="38"/>
  <c r="N180" i="38"/>
  <c r="N181" i="38" s="1"/>
  <c r="O197" i="38"/>
  <c r="O256" i="38"/>
  <c r="O257" i="38" s="1"/>
  <c r="R13" i="38"/>
  <c r="R35" i="38"/>
  <c r="E197" i="38"/>
  <c r="E180" i="38"/>
  <c r="E181" i="38" s="1"/>
  <c r="P179" i="38"/>
  <c r="R169" i="38"/>
  <c r="L215" i="38"/>
  <c r="L216" i="38" s="1"/>
  <c r="R149" i="38"/>
  <c r="N215" i="38"/>
  <c r="N216" i="38" s="1"/>
  <c r="R157" i="38"/>
  <c r="R159" i="38"/>
  <c r="R173" i="38"/>
  <c r="I179" i="38"/>
  <c r="R187" i="38"/>
  <c r="N198" i="38"/>
  <c r="N199" i="38" s="1"/>
  <c r="R244" i="38"/>
  <c r="K215" i="38"/>
  <c r="K216" i="38" s="1"/>
  <c r="M215" i="38"/>
  <c r="M216" i="38" s="1"/>
  <c r="R151" i="38"/>
  <c r="K179" i="38"/>
  <c r="K180" i="38"/>
  <c r="K181" i="38" s="1"/>
  <c r="H197" i="38"/>
  <c r="H198" i="38"/>
  <c r="H199" i="38" s="1"/>
  <c r="I197" i="38"/>
  <c r="I198" i="38"/>
  <c r="I199" i="38" s="1"/>
  <c r="K255" i="38"/>
  <c r="R222" i="38"/>
  <c r="I215" i="38"/>
  <c r="I216" i="38" s="1"/>
  <c r="L179" i="38"/>
  <c r="L180" i="38"/>
  <c r="L181" i="38" s="1"/>
  <c r="K256" i="38"/>
  <c r="K257" i="38" s="1"/>
  <c r="M256" i="38"/>
  <c r="M257" i="38" s="1"/>
  <c r="M255" i="38"/>
  <c r="N197" i="38"/>
  <c r="O180" i="38"/>
  <c r="O181" i="38" s="1"/>
  <c r="H215" i="38"/>
  <c r="H216" i="38" s="1"/>
  <c r="L255" i="38"/>
  <c r="L256" i="38"/>
  <c r="L257" i="38" s="1"/>
  <c r="E179" i="38"/>
  <c r="R259" i="38"/>
  <c r="O179" i="38"/>
  <c r="R175" i="38"/>
  <c r="I256" i="38"/>
  <c r="I257" i="38" s="1"/>
  <c r="E267" i="38"/>
  <c r="M179" i="38"/>
  <c r="N255" i="38"/>
  <c r="N269" i="38"/>
  <c r="E268" i="38"/>
  <c r="E269" i="38" s="1"/>
  <c r="M197" i="38"/>
  <c r="P256" i="38"/>
  <c r="P257" i="38" s="1"/>
  <c r="Q256" i="38" l="1"/>
  <c r="Q257" i="38" s="1"/>
  <c r="R253" i="38"/>
  <c r="R177" i="38"/>
  <c r="Q267" i="38"/>
  <c r="Q255" i="38"/>
  <c r="R265" i="38"/>
  <c r="Q268" i="38"/>
  <c r="Q269" i="38" s="1"/>
  <c r="Q180" i="38"/>
  <c r="Q181" i="38" s="1"/>
  <c r="Q179" i="38"/>
  <c r="N274" i="38"/>
  <c r="N275" i="38"/>
  <c r="N276" i="38" s="1"/>
  <c r="H275" i="38"/>
  <c r="H276" i="38" s="1"/>
  <c r="H274" i="38"/>
  <c r="I275" i="38"/>
  <c r="I276" i="38" s="1"/>
  <c r="I274" i="38"/>
  <c r="R195" i="38"/>
  <c r="Q198" i="38"/>
  <c r="Q199" i="38" s="1"/>
  <c r="Q197" i="38"/>
  <c r="M275" i="38"/>
  <c r="M276" i="38" s="1"/>
  <c r="M274" i="38"/>
  <c r="R46" i="38"/>
  <c r="Q49" i="38"/>
  <c r="Q50" i="38" s="1"/>
  <c r="Q48" i="38"/>
  <c r="L275" i="38"/>
  <c r="L276" i="38" s="1"/>
  <c r="L274" i="38"/>
  <c r="P275" i="38"/>
  <c r="P276" i="38" s="1"/>
  <c r="P274" i="38"/>
  <c r="O275" i="38"/>
  <c r="O276" i="38" s="1"/>
  <c r="O274" i="38"/>
  <c r="K274" i="38"/>
  <c r="K275" i="38"/>
  <c r="K276" i="38" s="1"/>
  <c r="S32" i="38" l="1"/>
  <c r="S28" i="38"/>
  <c r="S40" i="38"/>
  <c r="S6" i="38"/>
  <c r="S225" i="38"/>
  <c r="S247" i="38"/>
  <c r="S192" i="38"/>
  <c r="S174" i="38"/>
  <c r="S262" i="38"/>
  <c r="S160" i="38"/>
  <c r="S249" i="38"/>
  <c r="S158" i="38"/>
  <c r="S8" i="38"/>
  <c r="S164" i="38"/>
  <c r="S194" i="38"/>
  <c r="S221" i="38"/>
  <c r="S10" i="38"/>
  <c r="S237" i="38"/>
  <c r="S166" i="38"/>
  <c r="S264" i="38"/>
  <c r="S36" i="38"/>
  <c r="S152" i="38"/>
  <c r="S26" i="38"/>
  <c r="S223" i="38"/>
  <c r="S156" i="38"/>
  <c r="S14" i="38"/>
  <c r="S45" i="38"/>
  <c r="S162" i="38"/>
  <c r="S12" i="38"/>
  <c r="S243" i="38"/>
  <c r="S188" i="38"/>
  <c r="S219" i="38"/>
  <c r="S233" i="38"/>
  <c r="S245" i="38"/>
  <c r="S176" i="38"/>
  <c r="S184" i="38"/>
  <c r="S30" i="38"/>
  <c r="S235" i="38"/>
  <c r="S16" i="38"/>
  <c r="S168" i="38"/>
  <c r="S38" i="38"/>
  <c r="S172" i="38"/>
  <c r="S150" i="38"/>
  <c r="S154" i="38"/>
  <c r="S202" i="38"/>
  <c r="S204" i="38"/>
  <c r="S206" i="38"/>
  <c r="S208" i="38"/>
  <c r="S186" i="38"/>
  <c r="S4" i="38"/>
  <c r="S229" i="38"/>
  <c r="S170" i="38"/>
  <c r="S34" i="38"/>
  <c r="S227" i="38"/>
  <c r="S24" i="38"/>
  <c r="S42" i="38"/>
  <c r="S252" i="38"/>
  <c r="S231" i="38"/>
  <c r="S190" i="38"/>
  <c r="Q209" i="38"/>
  <c r="E214" i="38" l="1"/>
  <c r="E215" i="38"/>
  <c r="E216" i="38" s="1"/>
  <c r="E275" i="38" l="1"/>
  <c r="E276" i="38" s="1"/>
  <c r="E274" i="38"/>
  <c r="Q210" i="38"/>
  <c r="S210" i="38" l="1"/>
  <c r="R209" i="38"/>
  <c r="Q212" i="38"/>
  <c r="Q272" i="38" s="1"/>
  <c r="Q215" i="38" l="1"/>
  <c r="Q216" i="38" s="1"/>
  <c r="Q214" i="38"/>
  <c r="R212" i="38"/>
  <c r="O13" i="40"/>
  <c r="Q274" i="38" l="1"/>
  <c r="R272" i="38"/>
  <c r="S273" i="38"/>
  <c r="Q275" i="38"/>
  <c r="Q276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Boutros</author>
  </authors>
  <commentList>
    <comment ref="C6" authorId="0" shapeId="0" xr:uid="{803ED931-0CD7-498F-85EB-135317AEA956}">
      <text>
        <r>
          <rPr>
            <sz val="9"/>
            <color indexed="81"/>
            <rFont val="Tahoma"/>
            <family val="2"/>
          </rPr>
          <t>3 Drop Ship Orders - 460k
900k output from HQ very close to our average of 850k</t>
        </r>
      </text>
    </comment>
    <comment ref="H8" authorId="0" shapeId="0" xr:uid="{9E91857F-12B1-4B74-B851-137A1B6392C3}">
      <text>
        <r>
          <rPr>
            <b/>
            <sz val="9"/>
            <color indexed="81"/>
            <rFont val="Tahoma"/>
            <charset val="1"/>
          </rPr>
          <t>Tony Boutros:</t>
        </r>
        <r>
          <rPr>
            <sz val="9"/>
            <color indexed="81"/>
            <rFont val="Tahoma"/>
            <charset val="1"/>
          </rPr>
          <t xml:space="preserve">
Goodstart Buy Back 612k</t>
        </r>
      </text>
    </comment>
  </commentList>
</comments>
</file>

<file path=xl/sharedStrings.xml><?xml version="1.0" encoding="utf-8"?>
<sst xmlns="http://schemas.openxmlformats.org/spreadsheetml/2006/main" count="1283" uniqueCount="187">
  <si>
    <t>Total</t>
  </si>
  <si>
    <t>Budget</t>
  </si>
  <si>
    <t>% of Budget</t>
  </si>
  <si>
    <t>$ Variance</t>
  </si>
  <si>
    <t>% Variance</t>
  </si>
  <si>
    <t xml:space="preserve">Annual </t>
  </si>
  <si>
    <t>% Of Sales</t>
  </si>
  <si>
    <t>Account Manager</t>
  </si>
  <si>
    <t>Non-Report</t>
  </si>
  <si>
    <t>Customer Name</t>
  </si>
  <si>
    <t>% to Budget</t>
  </si>
  <si>
    <t>Ann</t>
  </si>
  <si>
    <t>C-Anchored</t>
  </si>
  <si>
    <t>WINNING APPLIANCES</t>
  </si>
  <si>
    <t>Actual</t>
  </si>
  <si>
    <t>Aus Nursing Home (NHF)</t>
  </si>
  <si>
    <t>AUSTRALIAN MILITARY BANK</t>
  </si>
  <si>
    <t>CORNERSTONE HEALTH</t>
  </si>
  <si>
    <t>Edge Early Learning</t>
  </si>
  <si>
    <t>MYCAR</t>
  </si>
  <si>
    <t>SYDNEY CRICKET &amp; SPORTS GRD TR</t>
  </si>
  <si>
    <t>WOOLWORTHS - METRO</t>
  </si>
  <si>
    <t>Fantastic Furniture</t>
  </si>
  <si>
    <t>C-General</t>
  </si>
  <si>
    <t>General-Ann</t>
  </si>
  <si>
    <t>New</t>
  </si>
  <si>
    <t>.</t>
  </si>
  <si>
    <t>Adrian</t>
  </si>
  <si>
    <t>HONDA AUSTRALIA</t>
  </si>
  <si>
    <t>Tasman Logistics</t>
  </si>
  <si>
    <t>Anytime Fitness</t>
  </si>
  <si>
    <t>CVGT</t>
  </si>
  <si>
    <t>Ford</t>
  </si>
  <si>
    <t>General Electric</t>
  </si>
  <si>
    <t>PRESTIGE INHOME CARE</t>
  </si>
  <si>
    <t>TLC</t>
  </si>
  <si>
    <t>VIC</t>
  </si>
  <si>
    <t>David</t>
  </si>
  <si>
    <t>CENTRAL COAST LEAGUES CLUB</t>
  </si>
  <si>
    <t>Transport Heritage</t>
  </si>
  <si>
    <t>HYMIX CONCRETE</t>
  </si>
  <si>
    <t>SMARTWAYS</t>
  </si>
  <si>
    <t>ONSITE RENTAL GROUP</t>
  </si>
  <si>
    <t>REVESBY WORKER CLUB</t>
  </si>
  <si>
    <t>ROADMASTER</t>
  </si>
  <si>
    <t>LION Co</t>
  </si>
  <si>
    <t>RSPCA</t>
  </si>
  <si>
    <t>WITRON</t>
  </si>
  <si>
    <t>UNITED FASTENERS</t>
  </si>
  <si>
    <t>General-David</t>
  </si>
  <si>
    <t>Margarita</t>
  </si>
  <si>
    <t>BAPCOR</t>
  </si>
  <si>
    <t>Cater Care</t>
  </si>
  <si>
    <t>GOODSTART</t>
  </si>
  <si>
    <t>ARCARE</t>
  </si>
  <si>
    <t>RESPECT</t>
  </si>
  <si>
    <t>General-Margarita</t>
  </si>
  <si>
    <t>Nick</t>
  </si>
  <si>
    <t>SCHOOLS</t>
  </si>
  <si>
    <t>Sutherland Shire Council</t>
  </si>
  <si>
    <t>HCF</t>
  </si>
  <si>
    <t>West HQ</t>
  </si>
  <si>
    <t>General-Nick</t>
  </si>
  <si>
    <t>General</t>
  </si>
  <si>
    <t>Pamela</t>
  </si>
  <si>
    <t>CCW</t>
  </si>
  <si>
    <t>Anastasia</t>
  </si>
  <si>
    <t>Tradebond</t>
  </si>
  <si>
    <t>Total All Sales</t>
  </si>
  <si>
    <t>Aftercare/Stride</t>
  </si>
  <si>
    <t>Michele</t>
  </si>
  <si>
    <t>BENETAS</t>
  </si>
  <si>
    <t>Park Hyatt</t>
  </si>
  <si>
    <t>RSL LIFECARE</t>
  </si>
  <si>
    <t>WOOLWORTHS - ALSCO</t>
  </si>
  <si>
    <t>KIP</t>
  </si>
  <si>
    <t>Redland</t>
  </si>
  <si>
    <t>Description</t>
  </si>
  <si>
    <t> </t>
  </si>
  <si>
    <t>HQ WIP</t>
  </si>
  <si>
    <t>Order $</t>
  </si>
  <si>
    <t>Order QTY</t>
  </si>
  <si>
    <t>B/O $</t>
  </si>
  <si>
    <t>B/O QTY</t>
  </si>
  <si>
    <t>BOOKED $</t>
  </si>
  <si>
    <t>BOOKED QTY</t>
  </si>
  <si>
    <t>3PL WIP</t>
  </si>
  <si>
    <t>Total WIP</t>
  </si>
  <si>
    <t>Value</t>
  </si>
  <si>
    <t>Orders</t>
  </si>
  <si>
    <t>MYCAR - ALSCO</t>
  </si>
  <si>
    <t>HARVEY NORMAN</t>
  </si>
  <si>
    <t>SYC</t>
  </si>
  <si>
    <t>TEEG</t>
  </si>
  <si>
    <t>HARVEY NORMAN NZ</t>
  </si>
  <si>
    <t>BIG RIVER GROUP</t>
  </si>
  <si>
    <t>TRU BLU PTY LTD</t>
  </si>
  <si>
    <t>General-Michele</t>
  </si>
  <si>
    <t>General-Adrian</t>
  </si>
  <si>
    <t>NZ</t>
  </si>
  <si>
    <t>Shipped Sales Total</t>
  </si>
  <si>
    <t>Monthly Shipped Sales</t>
  </si>
  <si>
    <t>NZ WIP</t>
  </si>
  <si>
    <t>3PL</t>
  </si>
  <si>
    <t>HQ</t>
  </si>
  <si>
    <t>Sales Budget Vs Actual Invoiced-  1st July 2025 to 30 June 2026</t>
  </si>
  <si>
    <t>Invoiced Sales Total</t>
  </si>
  <si>
    <t>Shipped</t>
  </si>
  <si>
    <t>HARDI AGED CARE</t>
  </si>
  <si>
    <t>Toyota</t>
  </si>
  <si>
    <t>SSP AUSTRALIA CATERING</t>
  </si>
  <si>
    <t>UTS</t>
  </si>
  <si>
    <t>Aveo Retirement Villages</t>
  </si>
  <si>
    <t>TNA Group</t>
  </si>
  <si>
    <t>Ricoh Australia</t>
  </si>
  <si>
    <t>Pickles Auctions</t>
  </si>
  <si>
    <t>Pedders Group</t>
  </si>
  <si>
    <t>Parramatta Leagues Club</t>
  </si>
  <si>
    <t>JELD-WEN GROUP / VENTORA</t>
  </si>
  <si>
    <t>Heidelberg Material</t>
  </si>
  <si>
    <t>Apiam Animal Health</t>
  </si>
  <si>
    <t>The Bureau of Meteorology</t>
  </si>
  <si>
    <t>Mercy Community</t>
  </si>
  <si>
    <t>Mornington Peninsula</t>
  </si>
  <si>
    <t>Royal Automotive Club of Victoria</t>
  </si>
  <si>
    <t>Customer Group</t>
  </si>
  <si>
    <t>Amount</t>
  </si>
  <si>
    <t>Raine and Horne</t>
  </si>
  <si>
    <t>Luxol Childcare Groups</t>
  </si>
  <si>
    <t>Hall and Prior</t>
  </si>
  <si>
    <t>Whiddon</t>
  </si>
  <si>
    <t>DEICORP</t>
  </si>
  <si>
    <t>Canterbury League Club</t>
  </si>
  <si>
    <t>Dooleys</t>
  </si>
  <si>
    <t>St Marys Leagues Club</t>
  </si>
  <si>
    <t>BagTrans</t>
  </si>
  <si>
    <t>EG Australia</t>
  </si>
  <si>
    <t>Hi Quality Group</t>
  </si>
  <si>
    <t>Metropolitan Memorial Parks</t>
  </si>
  <si>
    <t>Hardi Aged Care</t>
  </si>
  <si>
    <t>Respect</t>
  </si>
  <si>
    <t>WEST HQ</t>
  </si>
  <si>
    <t>FANTASTIC FURNITURE</t>
  </si>
  <si>
    <t>Budget-</t>
  </si>
  <si>
    <t>Daniella</t>
  </si>
  <si>
    <t>AL</t>
  </si>
  <si>
    <t>TEEGAN</t>
  </si>
  <si>
    <t>Fulcrum</t>
  </si>
  <si>
    <t>Timpelle Kitchens</t>
  </si>
  <si>
    <t>RESTHAVEN</t>
  </si>
  <si>
    <t>The Gabba</t>
  </si>
  <si>
    <t>Send IT</t>
  </si>
  <si>
    <t>Ascent Professional Services</t>
  </si>
  <si>
    <t>MKD</t>
  </si>
  <si>
    <t xml:space="preserve">Daniella General </t>
  </si>
  <si>
    <t>Universal Kingdom of God</t>
  </si>
  <si>
    <t>AUSREO</t>
  </si>
  <si>
    <r>
      <t xml:space="preserve">Sales Budget Vs Actual Invoiced-  1st July 2025 to 30 September 2025 - </t>
    </r>
    <r>
      <rPr>
        <b/>
        <sz val="18"/>
        <color theme="0"/>
        <rFont val="Arial"/>
        <family val="2"/>
      </rPr>
      <t>Q1</t>
    </r>
  </si>
  <si>
    <t>General-AL</t>
  </si>
  <si>
    <t>General-Teegan</t>
  </si>
  <si>
    <t>Woolworths Metro</t>
  </si>
  <si>
    <t>Pinion Advisory</t>
  </si>
  <si>
    <t>Hobson Engineering</t>
  </si>
  <si>
    <t>Smart Energy</t>
  </si>
  <si>
    <t>ZEDER Corporation</t>
  </si>
  <si>
    <t>Talice Security</t>
  </si>
  <si>
    <t>GPA Engineering</t>
  </si>
  <si>
    <t>FORD</t>
  </si>
  <si>
    <t>LION CO</t>
  </si>
  <si>
    <t>PARK HYATT</t>
  </si>
  <si>
    <t>Row Labels</t>
  </si>
  <si>
    <t>Sum of SoldValue</t>
  </si>
  <si>
    <t>AFTERCARE/STRIDE</t>
  </si>
  <si>
    <t>TRANSPORT HERITAGE</t>
  </si>
  <si>
    <t>ZZ-AUTOMATIVE-OTHER</t>
  </si>
  <si>
    <t>ZZ-CORPORATE-OTHER</t>
  </si>
  <si>
    <t>ZZ-EDUCATION-OTHER</t>
  </si>
  <si>
    <t>ZZ-GOVERNMENT-OTHER</t>
  </si>
  <si>
    <t>ZZ-HEALTHCARE-OTHER</t>
  </si>
  <si>
    <t>ZZ-HI VIS &amp; WORKWEAR-OTHER</t>
  </si>
  <si>
    <t>ZZ-HOSPITALITY-OTHER</t>
  </si>
  <si>
    <t>ZZ-MANUFACTURING-OTHER</t>
  </si>
  <si>
    <t>ZZ-OTHER</t>
  </si>
  <si>
    <t>ZZ-RETAIL-OTHER</t>
  </si>
  <si>
    <t>ZZ-SERVICES-OTHER</t>
  </si>
  <si>
    <t>(blank)</t>
  </si>
  <si>
    <t>TIG Weekly Financial Snapshot as of the 5th of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</si>
</sst>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;\(#,##0\)"/>
    <numFmt numFmtId="165" formatCode="#,##0_ ;[Red]\-#,##0\ "/>
    <numFmt numFmtId="166" formatCode="#,##0.00_ ;[Red]\-#,##0.00\ "/>
    <numFmt numFmtId="167" formatCode="#,##0.00;\(#,##0.00\)"/>
    <numFmt numFmtId="168" formatCode="&quot;$&quot;#,##0.00"/>
    <numFmt numFmtId="169" formatCode="_-&quot;$&quot;* #,##0_-;\-&quot;$&quot;* #,##0_-;_-&quot;$&quot;* &quot;-&quot;??_-;_-@_-"/>
    <numFmt numFmtId="170" formatCode="0.000%"/>
    <numFmt numFmtId="171" formatCode="#,##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 tint="-4.9989318521683403E-2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0"/>
      <name val="Arial"/>
      <family val="2"/>
    </font>
    <font>
      <b/>
      <sz val="14"/>
      <color theme="0"/>
      <name val="Arial"/>
      <family val="2"/>
    </font>
    <font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3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sz val="12"/>
      <color rgb="FFC00000"/>
      <name val="Arial"/>
      <family val="2"/>
    </font>
    <font>
      <sz val="12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b/>
      <sz val="18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0000"/>
        <bgColor indexed="64"/>
      </patternFill>
    </fill>
  </fills>
  <borders count="84">
    <border>
      <left/>
      <right/>
      <top/>
      <bottom/>
      <diagonal/>
    </border>
    <border>
      <left style="thick">
        <color theme="0" tint="-0.14996795556505021"/>
      </left>
      <right style="thick">
        <color theme="0" tint="-0.14996795556505021"/>
      </right>
      <top/>
      <bottom/>
      <diagonal/>
    </border>
    <border>
      <left style="thick">
        <color theme="0" tint="-0.14996795556505021"/>
      </left>
      <right/>
      <top/>
      <bottom/>
      <diagonal/>
    </border>
    <border>
      <left style="thick">
        <color theme="0" tint="-0.14996795556505021"/>
      </left>
      <right style="thick">
        <color theme="0" tint="-0.14990691854609822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ck">
        <color theme="2"/>
      </left>
      <right/>
      <top style="thick">
        <color theme="2"/>
      </top>
      <bottom style="thick">
        <color theme="2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ck">
        <color theme="2"/>
      </right>
      <top/>
      <bottom style="thick">
        <color theme="2"/>
      </bottom>
      <diagonal/>
    </border>
    <border>
      <left/>
      <right style="thick">
        <color theme="2"/>
      </right>
      <top style="thick">
        <color theme="2"/>
      </top>
      <bottom style="thick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  <border>
      <left/>
      <right style="medium">
        <color theme="0" tint="-0.14993743705557422"/>
      </right>
      <top/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ck">
        <color theme="2"/>
      </right>
      <top style="thick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indexed="64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1"/>
      </right>
      <top style="medium">
        <color indexed="64"/>
      </top>
      <bottom/>
      <diagonal/>
    </border>
    <border>
      <left style="medium">
        <color indexed="64"/>
      </left>
      <right style="thick">
        <color theme="1"/>
      </right>
      <top/>
      <bottom/>
      <diagonal/>
    </border>
    <border>
      <left style="medium">
        <color theme="0" tint="-0.14993743705557422"/>
      </left>
      <right style="medium">
        <color theme="0" tint="-0.14993743705557422"/>
      </right>
      <top/>
      <bottom style="medium">
        <color theme="0" tint="-0.149937437055574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ck">
        <color theme="2"/>
      </left>
      <right style="thick">
        <color theme="2"/>
      </right>
      <top/>
      <bottom style="thick">
        <color theme="2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/>
      <diagonal/>
    </border>
    <border>
      <left style="thick">
        <color theme="2"/>
      </left>
      <right/>
      <top style="thick">
        <color theme="2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/>
      <diagonal/>
    </border>
    <border>
      <left/>
      <right/>
      <top style="thick">
        <color theme="0" tint="-0.14996795556505021"/>
      </top>
      <bottom/>
      <diagonal/>
    </border>
    <border>
      <left/>
      <right style="thick">
        <color theme="2"/>
      </right>
      <top style="thick">
        <color theme="0" tint="-0.14996795556505021"/>
      </top>
      <bottom/>
      <diagonal/>
    </border>
    <border>
      <left/>
      <right style="thick">
        <color theme="2"/>
      </right>
      <top/>
      <bottom/>
      <diagonal/>
    </border>
    <border>
      <left style="thick">
        <color theme="0" tint="-0.14996795556505021"/>
      </left>
      <right/>
      <top/>
      <bottom style="thick">
        <color theme="2"/>
      </bottom>
      <diagonal/>
    </border>
    <border>
      <left/>
      <right/>
      <top/>
      <bottom style="thick">
        <color theme="2"/>
      </bottom>
      <diagonal/>
    </border>
    <border>
      <left style="medium">
        <color theme="2"/>
      </left>
      <right style="thick">
        <color theme="1"/>
      </right>
      <top/>
      <bottom style="medium">
        <color theme="2"/>
      </bottom>
      <diagonal/>
    </border>
    <border>
      <left/>
      <right style="medium">
        <color theme="2"/>
      </right>
      <top/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/>
      <diagonal/>
    </border>
    <border>
      <left style="thick">
        <color theme="0" tint="-0.14996795556505021"/>
      </left>
      <right style="thick">
        <color theme="0" tint="-0.14996795556505021"/>
      </right>
      <top/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3743705557422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3743705557422"/>
      </top>
      <bottom style="thick">
        <color theme="0" tint="-0.1499679555650502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ck">
        <color rgb="FFD9D9D9"/>
      </left>
      <right/>
      <top style="thick">
        <color rgb="FFD9D9D9"/>
      </top>
      <bottom style="thick">
        <color rgb="FF4472C4"/>
      </bottom>
      <diagonal/>
    </border>
    <border>
      <left/>
      <right style="thick">
        <color rgb="FFD9D9D9"/>
      </right>
      <top style="thick">
        <color rgb="FFD9D9D9"/>
      </top>
      <bottom style="thick">
        <color rgb="FF4472C4"/>
      </bottom>
      <diagonal/>
    </border>
    <border>
      <left/>
      <right style="thick">
        <color rgb="FFD9D9D9"/>
      </right>
      <top/>
      <bottom style="thick">
        <color rgb="FF4472C4"/>
      </bottom>
      <diagonal/>
    </border>
    <border>
      <left style="thick">
        <color rgb="FF4472C4"/>
      </left>
      <right style="thick">
        <color rgb="FF4472C4"/>
      </right>
      <top style="thick">
        <color rgb="FF4472C4"/>
      </top>
      <bottom/>
      <diagonal/>
    </border>
    <border>
      <left style="thick">
        <color rgb="FF4472C4"/>
      </left>
      <right/>
      <top style="thick">
        <color rgb="FF4472C4"/>
      </top>
      <bottom/>
      <diagonal/>
    </border>
    <border>
      <left/>
      <right style="thick">
        <color rgb="FF4472C4"/>
      </right>
      <top style="thick">
        <color rgb="FF4472C4"/>
      </top>
      <bottom/>
      <diagonal/>
    </border>
    <border>
      <left/>
      <right style="thick">
        <color rgb="FF4472C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4472C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4472C4"/>
      </left>
      <right style="thick">
        <color rgb="FF4472C4"/>
      </right>
      <top/>
      <bottom/>
      <diagonal/>
    </border>
    <border>
      <left style="thick">
        <color rgb="FF4472C4"/>
      </left>
      <right style="thick">
        <color rgb="FF4472C4"/>
      </right>
      <top/>
      <bottom style="thick">
        <color rgb="FF4472C4"/>
      </bottom>
      <diagonal/>
    </border>
    <border>
      <left/>
      <right style="thick">
        <color rgb="FF4472C4"/>
      </right>
      <top/>
      <bottom style="thick">
        <color rgb="FF4472C4"/>
      </bottom>
      <diagonal/>
    </border>
    <border>
      <left style="thick">
        <color theme="4"/>
      </left>
      <right style="thick">
        <color theme="4"/>
      </right>
      <top/>
      <bottom/>
      <diagonal/>
    </border>
    <border>
      <left style="thick">
        <color theme="4"/>
      </left>
      <right style="medium">
        <color indexed="64"/>
      </right>
      <top/>
      <bottom/>
      <diagonal/>
    </border>
    <border>
      <left style="thick">
        <color theme="4"/>
      </left>
      <right style="thick">
        <color theme="4"/>
      </right>
      <top/>
      <bottom style="medium">
        <color indexed="64"/>
      </bottom>
      <diagonal/>
    </border>
    <border>
      <left style="thick">
        <color theme="4"/>
      </left>
      <right style="medium">
        <color indexed="64"/>
      </right>
      <top/>
      <bottom style="medium">
        <color indexed="64"/>
      </bottom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8"/>
      </left>
      <right style="medium">
        <color theme="8"/>
      </right>
      <top style="medium">
        <color indexed="64"/>
      </top>
      <bottom/>
      <diagonal/>
    </border>
    <border>
      <left style="medium">
        <color theme="8"/>
      </left>
      <right style="medium">
        <color theme="8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322">
    <xf numFmtId="0" fontId="0" fillId="0" borderId="0" xfId="0"/>
    <xf numFmtId="0" fontId="8" fillId="0" borderId="0" xfId="0" applyFont="1" applyAlignment="1">
      <alignment vertical="center"/>
    </xf>
    <xf numFmtId="49" fontId="2" fillId="0" borderId="2" xfId="2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165" fontId="7" fillId="2" borderId="5" xfId="0" applyNumberFormat="1" applyFont="1" applyFill="1" applyBorder="1"/>
    <xf numFmtId="9" fontId="12" fillId="0" borderId="5" xfId="1" applyFont="1" applyFill="1" applyBorder="1"/>
    <xf numFmtId="9" fontId="2" fillId="3" borderId="5" xfId="1" applyFont="1" applyFill="1" applyBorder="1" applyAlignment="1">
      <alignment horizontal="center"/>
    </xf>
    <xf numFmtId="165" fontId="12" fillId="2" borderId="5" xfId="0" applyNumberFormat="1" applyFont="1" applyFill="1" applyBorder="1"/>
    <xf numFmtId="164" fontId="7" fillId="2" borderId="5" xfId="0" applyNumberFormat="1" applyFont="1" applyFill="1" applyBorder="1"/>
    <xf numFmtId="165" fontId="7" fillId="2" borderId="6" xfId="0" applyNumberFormat="1" applyFont="1" applyFill="1" applyBorder="1"/>
    <xf numFmtId="49" fontId="12" fillId="0" borderId="6" xfId="2" applyNumberFormat="1" applyFont="1" applyBorder="1" applyAlignment="1">
      <alignment horizontal="center" vertical="top"/>
    </xf>
    <xf numFmtId="9" fontId="12" fillId="0" borderId="6" xfId="1" applyFont="1" applyFill="1" applyBorder="1"/>
    <xf numFmtId="165" fontId="4" fillId="2" borderId="6" xfId="0" applyNumberFormat="1" applyFont="1" applyFill="1" applyBorder="1"/>
    <xf numFmtId="9" fontId="2" fillId="3" borderId="6" xfId="1" applyFont="1" applyFill="1" applyBorder="1" applyAlignment="1">
      <alignment horizontal="center"/>
    </xf>
    <xf numFmtId="9" fontId="2" fillId="3" borderId="6" xfId="0" applyNumberFormat="1" applyFont="1" applyFill="1" applyBorder="1" applyAlignment="1">
      <alignment horizontal="center" vertical="center"/>
    </xf>
    <xf numFmtId="9" fontId="2" fillId="3" borderId="5" xfId="0" applyNumberFormat="1" applyFont="1" applyFill="1" applyBorder="1" applyAlignment="1">
      <alignment horizontal="center" vertical="center"/>
    </xf>
    <xf numFmtId="165" fontId="7" fillId="2" borderId="7" xfId="0" applyNumberFormat="1" applyFont="1" applyFill="1" applyBorder="1"/>
    <xf numFmtId="9" fontId="12" fillId="0" borderId="7" xfId="1" applyFont="1" applyFill="1" applyBorder="1"/>
    <xf numFmtId="9" fontId="2" fillId="3" borderId="7" xfId="1" applyFont="1" applyFill="1" applyBorder="1" applyAlignment="1">
      <alignment horizontal="center"/>
    </xf>
    <xf numFmtId="9" fontId="2" fillId="3" borderId="7" xfId="0" applyNumberFormat="1" applyFont="1" applyFill="1" applyBorder="1" applyAlignment="1">
      <alignment vertical="center"/>
    </xf>
    <xf numFmtId="49" fontId="2" fillId="5" borderId="0" xfId="2" applyNumberFormat="1" applyFont="1" applyFill="1" applyAlignment="1">
      <alignment horizontal="center" vertical="center"/>
    </xf>
    <xf numFmtId="49" fontId="7" fillId="2" borderId="0" xfId="2" applyNumberFormat="1" applyFont="1" applyFill="1" applyAlignment="1">
      <alignment horizontal="center" vertical="top"/>
    </xf>
    <xf numFmtId="49" fontId="12" fillId="0" borderId="0" xfId="2" applyNumberFormat="1" applyFont="1" applyAlignment="1">
      <alignment horizontal="center" vertical="top"/>
    </xf>
    <xf numFmtId="49" fontId="12" fillId="2" borderId="0" xfId="2" applyNumberFormat="1" applyFont="1" applyFill="1" applyAlignment="1">
      <alignment horizontal="center" vertical="top"/>
    </xf>
    <xf numFmtId="164" fontId="7" fillId="2" borderId="7" xfId="0" applyNumberFormat="1" applyFont="1" applyFill="1" applyBorder="1"/>
    <xf numFmtId="165" fontId="12" fillId="2" borderId="7" xfId="0" applyNumberFormat="1" applyFont="1" applyFill="1" applyBorder="1"/>
    <xf numFmtId="49" fontId="2" fillId="4" borderId="6" xfId="2" applyNumberFormat="1" applyFont="1" applyFill="1" applyBorder="1" applyAlignment="1">
      <alignment horizontal="center" vertical="center"/>
    </xf>
    <xf numFmtId="167" fontId="2" fillId="4" borderId="6" xfId="0" applyNumberFormat="1" applyFont="1" applyFill="1" applyBorder="1" applyAlignment="1">
      <alignment vertical="center"/>
    </xf>
    <xf numFmtId="49" fontId="7" fillId="2" borderId="6" xfId="2" applyNumberFormat="1" applyFont="1" applyFill="1" applyBorder="1" applyAlignment="1">
      <alignment horizontal="center" vertical="center"/>
    </xf>
    <xf numFmtId="165" fontId="12" fillId="2" borderId="6" xfId="2" applyNumberFormat="1" applyFont="1" applyFill="1" applyBorder="1" applyAlignment="1">
      <alignment horizontal="center" vertical="top"/>
    </xf>
    <xf numFmtId="165" fontId="12" fillId="2" borderId="6" xfId="0" applyNumberFormat="1" applyFont="1" applyFill="1" applyBorder="1"/>
    <xf numFmtId="49" fontId="2" fillId="3" borderId="6" xfId="2" applyNumberFormat="1" applyFont="1" applyFill="1" applyBorder="1" applyAlignment="1">
      <alignment horizontal="center" vertical="center"/>
    </xf>
    <xf numFmtId="9" fontId="2" fillId="3" borderId="6" xfId="0" applyNumberFormat="1" applyFont="1" applyFill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167" fontId="2" fillId="5" borderId="9" xfId="0" applyNumberFormat="1" applyFont="1" applyFill="1" applyBorder="1" applyAlignment="1">
      <alignment vertical="center"/>
    </xf>
    <xf numFmtId="9" fontId="12" fillId="0" borderId="11" xfId="1" applyFont="1" applyFill="1" applyBorder="1"/>
    <xf numFmtId="9" fontId="2" fillId="3" borderId="11" xfId="1" applyFont="1" applyFill="1" applyBorder="1" applyAlignment="1">
      <alignment horizontal="center"/>
    </xf>
    <xf numFmtId="0" fontId="8" fillId="4" borderId="12" xfId="0" applyFont="1" applyFill="1" applyBorder="1" applyAlignment="1">
      <alignment vertical="center"/>
    </xf>
    <xf numFmtId="9" fontId="12" fillId="0" borderId="13" xfId="1" applyFont="1" applyFill="1" applyBorder="1"/>
    <xf numFmtId="165" fontId="12" fillId="2" borderId="13" xfId="0" applyNumberFormat="1" applyFont="1" applyFill="1" applyBorder="1"/>
    <xf numFmtId="9" fontId="12" fillId="0" borderId="15" xfId="1" applyFont="1" applyFill="1" applyBorder="1"/>
    <xf numFmtId="165" fontId="4" fillId="2" borderId="15" xfId="0" applyNumberFormat="1" applyFont="1" applyFill="1" applyBorder="1"/>
    <xf numFmtId="9" fontId="2" fillId="3" borderId="15" xfId="1" applyFont="1" applyFill="1" applyBorder="1" applyAlignment="1">
      <alignment horizontal="center"/>
    </xf>
    <xf numFmtId="9" fontId="12" fillId="0" borderId="10" xfId="1" applyFont="1" applyFill="1" applyBorder="1"/>
    <xf numFmtId="165" fontId="4" fillId="2" borderId="10" xfId="0" applyNumberFormat="1" applyFont="1" applyFill="1" applyBorder="1"/>
    <xf numFmtId="9" fontId="2" fillId="3" borderId="10" xfId="1" applyFont="1" applyFill="1" applyBorder="1"/>
    <xf numFmtId="165" fontId="12" fillId="2" borderId="10" xfId="0" applyNumberFormat="1" applyFont="1" applyFill="1" applyBorder="1"/>
    <xf numFmtId="9" fontId="12" fillId="0" borderId="18" xfId="1" applyFont="1" applyFill="1" applyBorder="1"/>
    <xf numFmtId="3" fontId="12" fillId="2" borderId="18" xfId="0" applyNumberFormat="1" applyFont="1" applyFill="1" applyBorder="1"/>
    <xf numFmtId="9" fontId="2" fillId="3" borderId="18" xfId="1" applyFont="1" applyFill="1" applyBorder="1"/>
    <xf numFmtId="165" fontId="12" fillId="2" borderId="18" xfId="0" applyNumberFormat="1" applyFont="1" applyFill="1" applyBorder="1"/>
    <xf numFmtId="165" fontId="12" fillId="2" borderId="15" xfId="0" applyNumberFormat="1" applyFont="1" applyFill="1" applyBorder="1"/>
    <xf numFmtId="9" fontId="2" fillId="3" borderId="15" xfId="1" applyFont="1" applyFill="1" applyBorder="1" applyAlignment="1">
      <alignment horizontal="center" vertical="center"/>
    </xf>
    <xf numFmtId="49" fontId="2" fillId="5" borderId="16" xfId="2" applyNumberFormat="1" applyFont="1" applyFill="1" applyBorder="1" applyAlignment="1">
      <alignment horizontal="center" vertical="center"/>
    </xf>
    <xf numFmtId="49" fontId="12" fillId="0" borderId="10" xfId="2" applyNumberFormat="1" applyFont="1" applyBorder="1" applyAlignment="1">
      <alignment horizontal="center" vertical="top"/>
    </xf>
    <xf numFmtId="49" fontId="2" fillId="5" borderId="14" xfId="2" applyNumberFormat="1" applyFont="1" applyFill="1" applyBorder="1" applyAlignment="1">
      <alignment horizontal="center" vertical="center"/>
    </xf>
    <xf numFmtId="49" fontId="7" fillId="2" borderId="15" xfId="2" applyNumberFormat="1" applyFont="1" applyFill="1" applyBorder="1" applyAlignment="1">
      <alignment horizontal="center" vertical="top"/>
    </xf>
    <xf numFmtId="49" fontId="12" fillId="0" borderId="15" xfId="2" applyNumberFormat="1" applyFont="1" applyBorder="1" applyAlignment="1">
      <alignment horizontal="center" vertical="top"/>
    </xf>
    <xf numFmtId="165" fontId="11" fillId="2" borderId="15" xfId="2" applyNumberFormat="1" applyFont="1" applyFill="1" applyBorder="1" applyAlignment="1">
      <alignment horizontal="center" vertical="top"/>
    </xf>
    <xf numFmtId="49" fontId="2" fillId="3" borderId="15" xfId="2" applyNumberFormat="1" applyFont="1" applyFill="1" applyBorder="1" applyAlignment="1">
      <alignment horizontal="center" vertical="top"/>
    </xf>
    <xf numFmtId="0" fontId="8" fillId="4" borderId="19" xfId="0" applyFont="1" applyFill="1" applyBorder="1" applyAlignment="1">
      <alignment vertical="center"/>
    </xf>
    <xf numFmtId="49" fontId="7" fillId="2" borderId="10" xfId="2" applyNumberFormat="1" applyFont="1" applyFill="1" applyBorder="1" applyAlignment="1">
      <alignment horizontal="center" vertical="top"/>
    </xf>
    <xf numFmtId="49" fontId="11" fillId="2" borderId="10" xfId="2" applyNumberFormat="1" applyFont="1" applyFill="1" applyBorder="1" applyAlignment="1">
      <alignment horizontal="center" vertical="top"/>
    </xf>
    <xf numFmtId="49" fontId="2" fillId="3" borderId="10" xfId="2" applyNumberFormat="1" applyFont="1" applyFill="1" applyBorder="1" applyAlignment="1">
      <alignment horizontal="center" vertical="top"/>
    </xf>
    <xf numFmtId="0" fontId="8" fillId="4" borderId="20" xfId="0" applyFont="1" applyFill="1" applyBorder="1" applyAlignment="1">
      <alignment vertical="center"/>
    </xf>
    <xf numFmtId="49" fontId="12" fillId="2" borderId="10" xfId="2" applyNumberFormat="1" applyFont="1" applyFill="1" applyBorder="1" applyAlignment="1">
      <alignment horizontal="center" vertical="top"/>
    </xf>
    <xf numFmtId="49" fontId="7" fillId="2" borderId="18" xfId="2" applyNumberFormat="1" applyFont="1" applyFill="1" applyBorder="1" applyAlignment="1">
      <alignment horizontal="center" vertical="top"/>
    </xf>
    <xf numFmtId="49" fontId="12" fillId="0" borderId="18" xfId="2" applyNumberFormat="1" applyFont="1" applyBorder="1" applyAlignment="1">
      <alignment horizontal="center" vertical="top"/>
    </xf>
    <xf numFmtId="49" fontId="12" fillId="2" borderId="18" xfId="2" applyNumberFormat="1" applyFont="1" applyFill="1" applyBorder="1" applyAlignment="1">
      <alignment horizontal="center" vertical="top"/>
    </xf>
    <xf numFmtId="49" fontId="2" fillId="3" borderId="18" xfId="2" applyNumberFormat="1" applyFont="1" applyFill="1" applyBorder="1" applyAlignment="1">
      <alignment horizontal="center" vertical="top"/>
    </xf>
    <xf numFmtId="49" fontId="2" fillId="3" borderId="0" xfId="2" applyNumberFormat="1" applyFont="1" applyFill="1" applyAlignment="1">
      <alignment horizontal="center" vertical="top"/>
    </xf>
    <xf numFmtId="167" fontId="2" fillId="5" borderId="24" xfId="0" applyNumberFormat="1" applyFont="1" applyFill="1" applyBorder="1" applyAlignment="1">
      <alignment vertical="center"/>
    </xf>
    <xf numFmtId="0" fontId="8" fillId="4" borderId="2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49" fontId="6" fillId="0" borderId="31" xfId="2" applyNumberFormat="1" applyFont="1" applyBorder="1" applyAlignment="1">
      <alignment horizontal="center" vertical="top"/>
    </xf>
    <xf numFmtId="3" fontId="6" fillId="0" borderId="31" xfId="0" applyNumberFormat="1" applyFont="1" applyBorder="1"/>
    <xf numFmtId="3" fontId="6" fillId="0" borderId="31" xfId="0" applyNumberFormat="1" applyFont="1" applyBorder="1" applyAlignment="1">
      <alignment horizontal="right"/>
    </xf>
    <xf numFmtId="165" fontId="6" fillId="0" borderId="31" xfId="0" applyNumberFormat="1" applyFont="1" applyBorder="1" applyAlignment="1">
      <alignment horizontal="right"/>
    </xf>
    <xf numFmtId="49" fontId="7" fillId="0" borderId="32" xfId="2" applyNumberFormat="1" applyFont="1" applyBorder="1" applyAlignment="1">
      <alignment horizontal="center" vertical="top"/>
    </xf>
    <xf numFmtId="165" fontId="7" fillId="2" borderId="32" xfId="0" applyNumberFormat="1" applyFont="1" applyFill="1" applyBorder="1" applyAlignment="1">
      <alignment horizontal="right"/>
    </xf>
    <xf numFmtId="166" fontId="2" fillId="5" borderId="34" xfId="0" applyNumberFormat="1" applyFont="1" applyFill="1" applyBorder="1" applyAlignment="1">
      <alignment vertical="center"/>
    </xf>
    <xf numFmtId="49" fontId="6" fillId="0" borderId="32" xfId="2" applyNumberFormat="1" applyFont="1" applyBorder="1" applyAlignment="1">
      <alignment horizontal="center" vertical="top"/>
    </xf>
    <xf numFmtId="165" fontId="6" fillId="0" borderId="32" xfId="0" applyNumberFormat="1" applyFont="1" applyBorder="1" applyAlignment="1">
      <alignment horizontal="right"/>
    </xf>
    <xf numFmtId="0" fontId="8" fillId="4" borderId="35" xfId="0" applyFont="1" applyFill="1" applyBorder="1" applyAlignment="1">
      <alignment vertical="center"/>
    </xf>
    <xf numFmtId="0" fontId="8" fillId="4" borderId="36" xfId="0" applyFont="1" applyFill="1" applyBorder="1" applyAlignment="1">
      <alignment vertical="center"/>
    </xf>
    <xf numFmtId="165" fontId="7" fillId="2" borderId="32" xfId="0" applyNumberFormat="1" applyFont="1" applyFill="1" applyBorder="1"/>
    <xf numFmtId="166" fontId="2" fillId="5" borderId="9" xfId="0" applyNumberFormat="1" applyFont="1" applyFill="1" applyBorder="1" applyAlignment="1">
      <alignment vertical="center"/>
    </xf>
    <xf numFmtId="164" fontId="6" fillId="0" borderId="31" xfId="0" applyNumberFormat="1" applyFont="1" applyBorder="1"/>
    <xf numFmtId="164" fontId="6" fillId="0" borderId="32" xfId="0" applyNumberFormat="1" applyFont="1" applyBorder="1"/>
    <xf numFmtId="164" fontId="7" fillId="0" borderId="32" xfId="0" applyNumberFormat="1" applyFont="1" applyBorder="1"/>
    <xf numFmtId="165" fontId="6" fillId="0" borderId="32" xfId="0" applyNumberFormat="1" applyFont="1" applyBorder="1"/>
    <xf numFmtId="165" fontId="6" fillId="0" borderId="37" xfId="0" applyNumberFormat="1" applyFont="1" applyBorder="1"/>
    <xf numFmtId="165" fontId="7" fillId="2" borderId="37" xfId="0" applyNumberFormat="1" applyFont="1" applyFill="1" applyBorder="1"/>
    <xf numFmtId="49" fontId="2" fillId="5" borderId="17" xfId="2" applyNumberFormat="1" applyFont="1" applyFill="1" applyBorder="1" applyAlignment="1">
      <alignment horizontal="center" vertical="center"/>
    </xf>
    <xf numFmtId="166" fontId="2" fillId="5" borderId="24" xfId="0" applyNumberFormat="1" applyFont="1" applyFill="1" applyBorder="1" applyAlignment="1">
      <alignment vertical="center"/>
    </xf>
    <xf numFmtId="0" fontId="8" fillId="4" borderId="38" xfId="0" applyFont="1" applyFill="1" applyBorder="1" applyAlignment="1">
      <alignment vertical="center"/>
    </xf>
    <xf numFmtId="0" fontId="8" fillId="4" borderId="39" xfId="0" applyFont="1" applyFill="1" applyBorder="1" applyAlignment="1">
      <alignment vertical="center"/>
    </xf>
    <xf numFmtId="0" fontId="8" fillId="4" borderId="40" xfId="0" applyFont="1" applyFill="1" applyBorder="1" applyAlignment="1">
      <alignment vertical="center"/>
    </xf>
    <xf numFmtId="164" fontId="7" fillId="2" borderId="32" xfId="0" applyNumberFormat="1" applyFont="1" applyFill="1" applyBorder="1"/>
    <xf numFmtId="3" fontId="7" fillId="2" borderId="32" xfId="0" applyNumberFormat="1" applyFont="1" applyFill="1" applyBorder="1"/>
    <xf numFmtId="9" fontId="6" fillId="0" borderId="27" xfId="0" applyNumberFormat="1" applyFont="1" applyBorder="1" applyAlignment="1">
      <alignment horizontal="center" vertical="center"/>
    </xf>
    <xf numFmtId="9" fontId="2" fillId="5" borderId="0" xfId="0" applyNumberFormat="1" applyFont="1" applyFill="1" applyAlignment="1">
      <alignment horizontal="center" vertical="center"/>
    </xf>
    <xf numFmtId="9" fontId="2" fillId="3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9" fontId="2" fillId="3" borderId="0" xfId="0" applyNumberFormat="1" applyFont="1" applyFill="1" applyAlignment="1">
      <alignment vertical="center"/>
    </xf>
    <xf numFmtId="9" fontId="2" fillId="4" borderId="0" xfId="0" applyNumberFormat="1" applyFont="1" applyFill="1" applyAlignment="1">
      <alignment horizontal="center" vertical="center"/>
    </xf>
    <xf numFmtId="10" fontId="11" fillId="0" borderId="26" xfId="0" applyNumberFormat="1" applyFont="1" applyBorder="1" applyAlignment="1">
      <alignment horizontal="center" vertical="center"/>
    </xf>
    <xf numFmtId="10" fontId="6" fillId="0" borderId="25" xfId="0" applyNumberFormat="1" applyFont="1" applyBorder="1" applyAlignment="1">
      <alignment horizontal="center" vertical="center"/>
    </xf>
    <xf numFmtId="10" fontId="6" fillId="0" borderId="26" xfId="0" applyNumberFormat="1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vertical="center"/>
    </xf>
    <xf numFmtId="17" fontId="2" fillId="4" borderId="9" xfId="0" applyNumberFormat="1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 wrapText="1"/>
    </xf>
    <xf numFmtId="165" fontId="7" fillId="2" borderId="33" xfId="0" applyNumberFormat="1" applyFont="1" applyFill="1" applyBorder="1"/>
    <xf numFmtId="164" fontId="7" fillId="0" borderId="33" xfId="0" applyNumberFormat="1" applyFont="1" applyBorder="1"/>
    <xf numFmtId="165" fontId="6" fillId="0" borderId="31" xfId="0" applyNumberFormat="1" applyFont="1" applyBorder="1"/>
    <xf numFmtId="0" fontId="8" fillId="4" borderId="0" xfId="0" applyFont="1" applyFill="1" applyAlignment="1">
      <alignment horizontal="left" vertical="center"/>
    </xf>
    <xf numFmtId="165" fontId="6" fillId="6" borderId="31" xfId="0" applyNumberFormat="1" applyFont="1" applyFill="1" applyBorder="1" applyAlignment="1">
      <alignment horizontal="right"/>
    </xf>
    <xf numFmtId="0" fontId="6" fillId="0" borderId="25" xfId="0" applyFont="1" applyBorder="1" applyAlignment="1">
      <alignment horizontal="center" vertical="center"/>
    </xf>
    <xf numFmtId="165" fontId="6" fillId="6" borderId="32" xfId="0" applyNumberFormat="1" applyFont="1" applyFill="1" applyBorder="1"/>
    <xf numFmtId="3" fontId="6" fillId="7" borderId="31" xfId="0" applyNumberFormat="1" applyFont="1" applyFill="1" applyBorder="1"/>
    <xf numFmtId="9" fontId="2" fillId="8" borderId="0" xfId="0" applyNumberFormat="1" applyFont="1" applyFill="1" applyAlignment="1">
      <alignment horizontal="center" vertical="center"/>
    </xf>
    <xf numFmtId="9" fontId="6" fillId="0" borderId="26" xfId="0" applyNumberFormat="1" applyFont="1" applyBorder="1" applyAlignment="1">
      <alignment horizontal="center" vertical="center"/>
    </xf>
    <xf numFmtId="9" fontId="2" fillId="0" borderId="27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66" fontId="10" fillId="0" borderId="0" xfId="0" applyNumberFormat="1" applyFont="1"/>
    <xf numFmtId="3" fontId="6" fillId="0" borderId="31" xfId="0" applyNumberFormat="1" applyFont="1" applyBorder="1" applyAlignment="1">
      <alignment horizontal="right" vertical="top"/>
    </xf>
    <xf numFmtId="165" fontId="6" fillId="0" borderId="31" xfId="0" applyNumberFormat="1" applyFont="1" applyBorder="1" applyAlignment="1">
      <alignment horizontal="right" vertical="top"/>
    </xf>
    <xf numFmtId="9" fontId="12" fillId="0" borderId="5" xfId="1" applyFont="1" applyBorder="1"/>
    <xf numFmtId="164" fontId="7" fillId="2" borderId="15" xfId="0" applyNumberFormat="1" applyFont="1" applyFill="1" applyBorder="1" applyAlignment="1">
      <alignment vertical="center"/>
    </xf>
    <xf numFmtId="0" fontId="10" fillId="0" borderId="0" xfId="0" applyFont="1"/>
    <xf numFmtId="165" fontId="10" fillId="0" borderId="0" xfId="0" applyNumberFormat="1" applyFont="1"/>
    <xf numFmtId="49" fontId="7" fillId="0" borderId="37" xfId="2" applyNumberFormat="1" applyFont="1" applyBorder="1" applyAlignment="1">
      <alignment horizontal="center" vertical="top"/>
    </xf>
    <xf numFmtId="49" fontId="6" fillId="0" borderId="56" xfId="2" applyNumberFormat="1" applyFont="1" applyBorder="1" applyAlignment="1">
      <alignment horizontal="center" vertical="top"/>
    </xf>
    <xf numFmtId="168" fontId="10" fillId="0" borderId="0" xfId="0" applyNumberFormat="1" applyFont="1"/>
    <xf numFmtId="165" fontId="7" fillId="9" borderId="32" xfId="0" applyNumberFormat="1" applyFont="1" applyFill="1" applyBorder="1" applyAlignment="1">
      <alignment horizontal="right"/>
    </xf>
    <xf numFmtId="164" fontId="7" fillId="9" borderId="33" xfId="0" applyNumberFormat="1" applyFont="1" applyFill="1" applyBorder="1"/>
    <xf numFmtId="164" fontId="7" fillId="9" borderId="32" xfId="0" applyNumberFormat="1" applyFont="1" applyFill="1" applyBorder="1"/>
    <xf numFmtId="165" fontId="7" fillId="9" borderId="32" xfId="0" applyNumberFormat="1" applyFont="1" applyFill="1" applyBorder="1"/>
    <xf numFmtId="165" fontId="7" fillId="0" borderId="32" xfId="0" applyNumberFormat="1" applyFont="1" applyBorder="1"/>
    <xf numFmtId="166" fontId="7" fillId="0" borderId="32" xfId="0" applyNumberFormat="1" applyFont="1" applyBorder="1"/>
    <xf numFmtId="0" fontId="16" fillId="0" borderId="0" xfId="0" applyFont="1"/>
    <xf numFmtId="0" fontId="18" fillId="10" borderId="59" xfId="0" applyFont="1" applyFill="1" applyBorder="1" applyAlignment="1">
      <alignment wrapText="1"/>
    </xf>
    <xf numFmtId="0" fontId="15" fillId="0" borderId="0" xfId="0" applyFont="1"/>
    <xf numFmtId="0" fontId="15" fillId="12" borderId="63" xfId="0" applyFont="1" applyFill="1" applyBorder="1"/>
    <xf numFmtId="0" fontId="20" fillId="0" borderId="0" xfId="0" applyFont="1"/>
    <xf numFmtId="0" fontId="22" fillId="0" borderId="0" xfId="0" applyFont="1"/>
    <xf numFmtId="44" fontId="16" fillId="14" borderId="62" xfId="0" applyNumberFormat="1" applyFont="1" applyFill="1" applyBorder="1"/>
    <xf numFmtId="44" fontId="11" fillId="0" borderId="0" xfId="0" applyNumberFormat="1" applyFont="1"/>
    <xf numFmtId="44" fontId="22" fillId="0" borderId="0" xfId="0" applyNumberFormat="1" applyFont="1"/>
    <xf numFmtId="2" fontId="11" fillId="0" borderId="0" xfId="0" applyNumberFormat="1" applyFont="1"/>
    <xf numFmtId="2" fontId="22" fillId="0" borderId="0" xfId="0" applyNumberFormat="1" applyFont="1"/>
    <xf numFmtId="9" fontId="19" fillId="0" borderId="71" xfId="1" applyFont="1" applyFill="1" applyBorder="1" applyAlignment="1" applyProtection="1">
      <alignment horizontal="center"/>
    </xf>
    <xf numFmtId="3" fontId="19" fillId="9" borderId="71" xfId="0" applyNumberFormat="1" applyFont="1" applyFill="1" applyBorder="1" applyAlignment="1">
      <alignment horizontal="center"/>
    </xf>
    <xf numFmtId="3" fontId="19" fillId="9" borderId="72" xfId="0" applyNumberFormat="1" applyFont="1" applyFill="1" applyBorder="1" applyAlignment="1">
      <alignment horizontal="center"/>
    </xf>
    <xf numFmtId="9" fontId="11" fillId="0" borderId="73" xfId="1" applyFont="1" applyFill="1" applyBorder="1" applyAlignment="1" applyProtection="1">
      <alignment horizontal="center" vertical="center"/>
    </xf>
    <xf numFmtId="9" fontId="11" fillId="0" borderId="74" xfId="1" applyFont="1" applyFill="1" applyBorder="1" applyAlignment="1" applyProtection="1">
      <alignment horizontal="center" vertical="center"/>
    </xf>
    <xf numFmtId="1" fontId="13" fillId="0" borderId="63" xfId="0" applyNumberFormat="1" applyFont="1" applyBorder="1"/>
    <xf numFmtId="1" fontId="16" fillId="0" borderId="63" xfId="0" applyNumberFormat="1" applyFont="1" applyBorder="1"/>
    <xf numFmtId="1" fontId="13" fillId="0" borderId="70" xfId="0" applyNumberFormat="1" applyFont="1" applyBorder="1"/>
    <xf numFmtId="169" fontId="16" fillId="14" borderId="62" xfId="0" applyNumberFormat="1" applyFont="1" applyFill="1" applyBorder="1"/>
    <xf numFmtId="169" fontId="16" fillId="14" borderId="63" xfId="0" applyNumberFormat="1" applyFont="1" applyFill="1" applyBorder="1"/>
    <xf numFmtId="1" fontId="13" fillId="0" borderId="68" xfId="0" applyNumberFormat="1" applyFont="1" applyBorder="1"/>
    <xf numFmtId="169" fontId="16" fillId="14" borderId="68" xfId="0" applyNumberFormat="1" applyFont="1" applyFill="1" applyBorder="1"/>
    <xf numFmtId="1" fontId="16" fillId="0" borderId="69" xfId="0" applyNumberFormat="1" applyFont="1" applyBorder="1"/>
    <xf numFmtId="169" fontId="16" fillId="14" borderId="60" xfId="0" applyNumberFormat="1" applyFont="1" applyFill="1" applyBorder="1"/>
    <xf numFmtId="1" fontId="13" fillId="0" borderId="69" xfId="0" applyNumberFormat="1" applyFont="1" applyBorder="1"/>
    <xf numFmtId="169" fontId="15" fillId="14" borderId="60" xfId="0" applyNumberFormat="1" applyFont="1" applyFill="1" applyBorder="1"/>
    <xf numFmtId="169" fontId="15" fillId="14" borderId="68" xfId="0" applyNumberFormat="1" applyFont="1" applyFill="1" applyBorder="1"/>
    <xf numFmtId="169" fontId="15" fillId="14" borderId="69" xfId="0" applyNumberFormat="1" applyFont="1" applyFill="1" applyBorder="1"/>
    <xf numFmtId="17" fontId="18" fillId="11" borderId="58" xfId="0" applyNumberFormat="1" applyFont="1" applyFill="1" applyBorder="1"/>
    <xf numFmtId="0" fontId="11" fillId="0" borderId="0" xfId="0" applyFont="1"/>
    <xf numFmtId="1" fontId="15" fillId="0" borderId="0" xfId="0" applyNumberFormat="1" applyFont="1"/>
    <xf numFmtId="1" fontId="0" fillId="0" borderId="0" xfId="0" applyNumberFormat="1"/>
    <xf numFmtId="169" fontId="7" fillId="2" borderId="75" xfId="0" applyNumberFormat="1" applyFont="1" applyFill="1" applyBorder="1" applyAlignment="1">
      <alignment horizontal="center" vertical="center"/>
    </xf>
    <xf numFmtId="169" fontId="19" fillId="9" borderId="4" xfId="1" applyNumberFormat="1" applyFont="1" applyFill="1" applyBorder="1" applyAlignment="1" applyProtection="1">
      <alignment horizontal="center" vertical="center"/>
    </xf>
    <xf numFmtId="9" fontId="11" fillId="0" borderId="0" xfId="1" applyFont="1" applyFill="1" applyBorder="1" applyAlignment="1" applyProtection="1">
      <alignment horizontal="center" vertical="center"/>
    </xf>
    <xf numFmtId="169" fontId="6" fillId="6" borderId="28" xfId="1" applyNumberFormat="1" applyFont="1" applyFill="1" applyBorder="1" applyAlignment="1" applyProtection="1">
      <alignment horizontal="center"/>
    </xf>
    <xf numFmtId="10" fontId="7" fillId="2" borderId="30" xfId="1" applyNumberFormat="1" applyFont="1" applyFill="1" applyBorder="1" applyAlignment="1" applyProtection="1">
      <alignment horizontal="center"/>
    </xf>
    <xf numFmtId="10" fontId="7" fillId="2" borderId="30" xfId="1" applyNumberFormat="1" applyFont="1" applyFill="1" applyBorder="1" applyAlignment="1" applyProtection="1">
      <alignment horizontal="center" vertical="center"/>
    </xf>
    <xf numFmtId="169" fontId="6" fillId="6" borderId="80" xfId="1" applyNumberFormat="1" applyFont="1" applyFill="1" applyBorder="1" applyAlignment="1" applyProtection="1">
      <alignment horizontal="center"/>
    </xf>
    <xf numFmtId="10" fontId="7" fillId="2" borderId="81" xfId="1" applyNumberFormat="1" applyFont="1" applyFill="1" applyBorder="1" applyAlignment="1" applyProtection="1">
      <alignment horizontal="center"/>
    </xf>
    <xf numFmtId="169" fontId="6" fillId="6" borderId="80" xfId="0" applyNumberFormat="1" applyFont="1" applyFill="1" applyBorder="1" applyAlignment="1">
      <alignment horizontal="center"/>
    </xf>
    <xf numFmtId="10" fontId="7" fillId="2" borderId="81" xfId="0" applyNumberFormat="1" applyFont="1" applyFill="1" applyBorder="1" applyAlignment="1">
      <alignment horizontal="center"/>
    </xf>
    <xf numFmtId="10" fontId="7" fillId="2" borderId="81" xfId="1" applyNumberFormat="1" applyFont="1" applyFill="1" applyBorder="1" applyAlignment="1" applyProtection="1">
      <alignment horizontal="center" vertical="center"/>
    </xf>
    <xf numFmtId="169" fontId="6" fillId="6" borderId="80" xfId="1" applyNumberFormat="1" applyFont="1" applyFill="1" applyBorder="1" applyAlignment="1" applyProtection="1">
      <alignment horizontal="center" vertical="center"/>
    </xf>
    <xf numFmtId="169" fontId="6" fillId="6" borderId="80" xfId="0" applyNumberFormat="1" applyFont="1" applyFill="1" applyBorder="1" applyAlignment="1">
      <alignment horizontal="center" vertical="center"/>
    </xf>
    <xf numFmtId="10" fontId="7" fillId="2" borderId="81" xfId="0" applyNumberFormat="1" applyFont="1" applyFill="1" applyBorder="1" applyAlignment="1">
      <alignment horizontal="center" vertical="center"/>
    </xf>
    <xf numFmtId="0" fontId="15" fillId="14" borderId="62" xfId="0" applyFont="1" applyFill="1" applyBorder="1" applyAlignment="1">
      <alignment horizontal="left" vertical="center"/>
    </xf>
    <xf numFmtId="0" fontId="21" fillId="0" borderId="63" xfId="0" applyFont="1" applyBorder="1" applyAlignment="1">
      <alignment horizontal="left" vertical="center"/>
    </xf>
    <xf numFmtId="0" fontId="15" fillId="14" borderId="63" xfId="0" applyFont="1" applyFill="1" applyBorder="1" applyAlignment="1">
      <alignment horizontal="left" vertical="center"/>
    </xf>
    <xf numFmtId="0" fontId="6" fillId="0" borderId="63" xfId="0" applyFont="1" applyBorder="1" applyAlignment="1">
      <alignment horizontal="left" vertical="center"/>
    </xf>
    <xf numFmtId="0" fontId="15" fillId="0" borderId="63" xfId="0" applyFont="1" applyBorder="1" applyAlignment="1">
      <alignment horizontal="left" vertical="center"/>
    </xf>
    <xf numFmtId="0" fontId="6" fillId="0" borderId="70" xfId="0" applyFont="1" applyBorder="1" applyAlignment="1">
      <alignment horizontal="left" vertical="center"/>
    </xf>
    <xf numFmtId="0" fontId="6" fillId="17" borderId="63" xfId="0" applyFont="1" applyFill="1" applyBorder="1" applyAlignment="1">
      <alignment horizontal="left" vertical="center"/>
    </xf>
    <xf numFmtId="169" fontId="6" fillId="17" borderId="63" xfId="0" applyNumberFormat="1" applyFont="1" applyFill="1" applyBorder="1" applyAlignment="1">
      <alignment horizontal="right" vertical="center"/>
    </xf>
    <xf numFmtId="169" fontId="15" fillId="17" borderId="60" xfId="0" applyNumberFormat="1" applyFont="1" applyFill="1" applyBorder="1"/>
    <xf numFmtId="0" fontId="6" fillId="17" borderId="70" xfId="0" applyFont="1" applyFill="1" applyBorder="1" applyAlignment="1">
      <alignment horizontal="left" vertical="center"/>
    </xf>
    <xf numFmtId="1" fontId="15" fillId="17" borderId="70" xfId="0" applyNumberFormat="1" applyFont="1" applyFill="1" applyBorder="1" applyAlignment="1">
      <alignment horizontal="right" vertical="center"/>
    </xf>
    <xf numFmtId="169" fontId="15" fillId="17" borderId="69" xfId="0" applyNumberFormat="1" applyFont="1" applyFill="1" applyBorder="1"/>
    <xf numFmtId="170" fontId="19" fillId="0" borderId="72" xfId="1" applyNumberFormat="1" applyFont="1" applyFill="1" applyBorder="1" applyAlignment="1" applyProtection="1">
      <alignment horizontal="center"/>
    </xf>
    <xf numFmtId="169" fontId="15" fillId="15" borderId="65" xfId="0" applyNumberFormat="1" applyFont="1" applyFill="1" applyBorder="1" applyAlignment="1">
      <alignment horizontal="center" vertical="center"/>
    </xf>
    <xf numFmtId="169" fontId="15" fillId="15" borderId="28" xfId="0" applyNumberFormat="1" applyFont="1" applyFill="1" applyBorder="1" applyAlignment="1">
      <alignment horizontal="center" vertical="center"/>
    </xf>
    <xf numFmtId="169" fontId="15" fillId="0" borderId="65" xfId="0" applyNumberFormat="1" applyFont="1" applyBorder="1" applyAlignment="1">
      <alignment horizontal="center" vertical="center"/>
    </xf>
    <xf numFmtId="169" fontId="15" fillId="0" borderId="28" xfId="0" applyNumberFormat="1" applyFont="1" applyBorder="1" applyAlignment="1">
      <alignment horizontal="center" vertical="center"/>
    </xf>
    <xf numFmtId="0" fontId="15" fillId="12" borderId="63" xfId="0" applyFont="1" applyFill="1" applyBorder="1" applyAlignment="1">
      <alignment horizontal="center" vertical="center"/>
    </xf>
    <xf numFmtId="0" fontId="15" fillId="12" borderId="63" xfId="0" applyFont="1" applyFill="1" applyBorder="1" applyAlignment="1">
      <alignment horizontal="center"/>
    </xf>
    <xf numFmtId="169" fontId="15" fillId="22" borderId="65" xfId="0" applyNumberFormat="1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49" fontId="13" fillId="0" borderId="25" xfId="3" applyNumberFormat="1" applyFont="1" applyBorder="1" applyAlignment="1">
      <alignment horizontal="left" vertical="center"/>
    </xf>
    <xf numFmtId="49" fontId="13" fillId="0" borderId="26" xfId="3" applyNumberFormat="1" applyFont="1" applyBorder="1" applyAlignment="1">
      <alignment horizontal="left" vertical="center"/>
    </xf>
    <xf numFmtId="49" fontId="13" fillId="0" borderId="25" xfId="2" applyNumberFormat="1" applyFont="1" applyBorder="1" applyAlignment="1">
      <alignment horizontal="center" vertical="center"/>
    </xf>
    <xf numFmtId="49" fontId="13" fillId="0" borderId="26" xfId="2" applyNumberFormat="1" applyFont="1" applyBorder="1" applyAlignment="1">
      <alignment horizontal="center" vertical="center"/>
    </xf>
    <xf numFmtId="49" fontId="13" fillId="0" borderId="25" xfId="2" applyNumberFormat="1" applyFont="1" applyBorder="1" applyAlignment="1">
      <alignment horizontal="left" vertical="center"/>
    </xf>
    <xf numFmtId="49" fontId="13" fillId="0" borderId="26" xfId="2" applyNumberFormat="1" applyFont="1" applyBorder="1" applyAlignment="1">
      <alignment horizontal="left" vertical="center"/>
    </xf>
    <xf numFmtId="49" fontId="13" fillId="0" borderId="22" xfId="2" applyNumberFormat="1" applyFont="1" applyBorder="1" applyAlignment="1">
      <alignment horizontal="left" vertical="center"/>
    </xf>
    <xf numFmtId="49" fontId="13" fillId="0" borderId="23" xfId="2" applyNumberFormat="1" applyFont="1" applyBorder="1" applyAlignment="1">
      <alignment horizontal="left" vertical="center"/>
    </xf>
    <xf numFmtId="49" fontId="2" fillId="5" borderId="22" xfId="2" applyNumberFormat="1" applyFont="1" applyFill="1" applyBorder="1" applyAlignment="1">
      <alignment horizontal="center" vertical="center"/>
    </xf>
    <xf numFmtId="49" fontId="2" fillId="5" borderId="23" xfId="2" applyNumberFormat="1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49" fontId="2" fillId="3" borderId="41" xfId="2" applyNumberFormat="1" applyFont="1" applyFill="1" applyBorder="1" applyAlignment="1">
      <alignment horizontal="center" vertical="center"/>
    </xf>
    <xf numFmtId="49" fontId="2" fillId="3" borderId="42" xfId="2" applyNumberFormat="1" applyFont="1" applyFill="1" applyBorder="1" applyAlignment="1">
      <alignment horizontal="center" vertical="center"/>
    </xf>
    <xf numFmtId="49" fontId="2" fillId="3" borderId="43" xfId="2" applyNumberFormat="1" applyFont="1" applyFill="1" applyBorder="1" applyAlignment="1">
      <alignment horizontal="center" vertical="center"/>
    </xf>
    <xf numFmtId="49" fontId="2" fillId="3" borderId="2" xfId="2" applyNumberFormat="1" applyFont="1" applyFill="1" applyBorder="1" applyAlignment="1">
      <alignment horizontal="center" vertical="center"/>
    </xf>
    <xf numFmtId="49" fontId="2" fillId="3" borderId="0" xfId="2" applyNumberFormat="1" applyFont="1" applyFill="1" applyAlignment="1">
      <alignment horizontal="center" vertical="center"/>
    </xf>
    <xf numFmtId="49" fontId="2" fillId="3" borderId="44" xfId="2" applyNumberFormat="1" applyFont="1" applyFill="1" applyBorder="1" applyAlignment="1">
      <alignment horizontal="center" vertical="center"/>
    </xf>
    <xf numFmtId="49" fontId="2" fillId="3" borderId="45" xfId="2" applyNumberFormat="1" applyFont="1" applyFill="1" applyBorder="1" applyAlignment="1">
      <alignment horizontal="center" vertical="center"/>
    </xf>
    <xf numFmtId="49" fontId="2" fillId="3" borderId="46" xfId="2" applyNumberFormat="1" applyFont="1" applyFill="1" applyBorder="1" applyAlignment="1">
      <alignment horizontal="center" vertical="center"/>
    </xf>
    <xf numFmtId="49" fontId="2" fillId="3" borderId="14" xfId="2" applyNumberFormat="1" applyFont="1" applyFill="1" applyBorder="1" applyAlignment="1">
      <alignment horizontal="center" vertical="center"/>
    </xf>
    <xf numFmtId="164" fontId="6" fillId="0" borderId="82" xfId="0" applyNumberFormat="1" applyFont="1" applyBorder="1"/>
    <xf numFmtId="10" fontId="6" fillId="0" borderId="28" xfId="0" applyNumberFormat="1" applyFont="1" applyBorder="1" applyAlignment="1">
      <alignment horizontal="center" vertical="center"/>
    </xf>
    <xf numFmtId="165" fontId="7" fillId="0" borderId="83" xfId="0" applyNumberFormat="1" applyFont="1" applyBorder="1"/>
    <xf numFmtId="165" fontId="6" fillId="0" borderId="4" xfId="0" applyNumberFormat="1" applyFont="1" applyBorder="1"/>
    <xf numFmtId="165" fontId="7" fillId="2" borderId="83" xfId="0" applyNumberFormat="1" applyFont="1" applyFill="1" applyBorder="1"/>
    <xf numFmtId="164" fontId="7" fillId="2" borderId="83" xfId="0" applyNumberFormat="1" applyFont="1" applyFill="1" applyBorder="1"/>
    <xf numFmtId="44" fontId="0" fillId="0" borderId="0" xfId="0" applyNumberFormat="1"/>
    <xf numFmtId="165" fontId="7" fillId="2" borderId="33" xfId="0" applyNumberFormat="1" applyFont="1" applyFill="1" applyBorder="1" applyAlignment="1">
      <alignment horizontal="right"/>
    </xf>
    <xf numFmtId="165" fontId="6" fillId="6" borderId="83" xfId="0" applyNumberFormat="1" applyFont="1" applyFill="1" applyBorder="1"/>
    <xf numFmtId="165" fontId="6" fillId="6" borderId="4" xfId="0" applyNumberFormat="1" applyFont="1" applyFill="1" applyBorder="1"/>
    <xf numFmtId="171" fontId="6" fillId="0" borderId="31" xfId="0" applyNumberFormat="1" applyFont="1" applyBorder="1"/>
    <xf numFmtId="44" fontId="20" fillId="0" borderId="0" xfId="0" applyNumberFormat="1" applyFont="1"/>
    <xf numFmtId="0" fontId="0" fillId="0" borderId="0" xfId="0" applyAlignment="1">
      <alignment horizontal="left"/>
    </xf>
    <xf numFmtId="165" fontId="7" fillId="2" borderId="15" xfId="0" applyNumberFormat="1" applyFont="1" applyFill="1" applyBorder="1"/>
    <xf numFmtId="165" fontId="7" fillId="2" borderId="10" xfId="0" applyNumberFormat="1" applyFont="1" applyFill="1" applyBorder="1"/>
    <xf numFmtId="49" fontId="2" fillId="8" borderId="6" xfId="2" applyNumberFormat="1" applyFont="1" applyFill="1" applyBorder="1" applyAlignment="1">
      <alignment horizontal="center" vertical="center"/>
    </xf>
    <xf numFmtId="44" fontId="2" fillId="4" borderId="6" xfId="0" applyNumberFormat="1" applyFont="1" applyFill="1" applyBorder="1" applyAlignment="1">
      <alignment vertical="center"/>
    </xf>
    <xf numFmtId="169" fontId="2" fillId="0" borderId="0" xfId="0" applyNumberFormat="1" applyFont="1" applyAlignment="1">
      <alignment vertical="center"/>
    </xf>
    <xf numFmtId="169" fontId="8" fillId="8" borderId="0" xfId="0" applyNumberFormat="1" applyFont="1" applyFill="1"/>
    <xf numFmtId="44" fontId="6" fillId="0" borderId="31" xfId="0" applyNumberFormat="1" applyFont="1" applyBorder="1" applyAlignment="1">
      <alignment horizontal="right"/>
    </xf>
    <xf numFmtId="49" fontId="6" fillId="0" borderId="25" xfId="2" applyNumberFormat="1" applyFont="1" applyBorder="1" applyAlignment="1">
      <alignment horizontal="center" vertical="center"/>
    </xf>
    <xf numFmtId="49" fontId="6" fillId="0" borderId="26" xfId="2" applyNumberFormat="1" applyFont="1" applyBorder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8" fillId="10" borderId="57" xfId="0" applyFont="1" applyFill="1" applyBorder="1" applyAlignment="1">
      <alignment wrapText="1"/>
    </xf>
    <xf numFmtId="0" fontId="18" fillId="10" borderId="58" xfId="0" applyFont="1" applyFill="1" applyBorder="1" applyAlignment="1">
      <alignment wrapText="1"/>
    </xf>
    <xf numFmtId="0" fontId="15" fillId="12" borderId="61" xfId="0" applyFont="1" applyFill="1" applyBorder="1"/>
    <xf numFmtId="0" fontId="15" fillId="12" borderId="62" xfId="0" applyFont="1" applyFill="1" applyBorder="1"/>
    <xf numFmtId="0" fontId="15" fillId="15" borderId="64" xfId="0" applyFont="1" applyFill="1" applyBorder="1"/>
    <xf numFmtId="0" fontId="15" fillId="15" borderId="65" xfId="0" applyFont="1" applyFill="1" applyBorder="1"/>
    <xf numFmtId="1" fontId="11" fillId="13" borderId="64" xfId="0" applyNumberFormat="1" applyFont="1" applyFill="1" applyBorder="1"/>
    <xf numFmtId="1" fontId="11" fillId="13" borderId="77" xfId="0" applyNumberFormat="1" applyFont="1" applyFill="1" applyBorder="1"/>
    <xf numFmtId="0" fontId="6" fillId="21" borderId="60" xfId="0" applyFont="1" applyFill="1" applyBorder="1" applyAlignment="1">
      <alignment horizontal="center" vertical="center"/>
    </xf>
    <xf numFmtId="0" fontId="6" fillId="21" borderId="68" xfId="0" applyFont="1" applyFill="1" applyBorder="1" applyAlignment="1">
      <alignment horizontal="center" vertical="center"/>
    </xf>
    <xf numFmtId="0" fontId="11" fillId="19" borderId="78" xfId="0" applyFont="1" applyFill="1" applyBorder="1" applyAlignment="1">
      <alignment horizontal="left" vertical="center"/>
    </xf>
    <xf numFmtId="0" fontId="11" fillId="19" borderId="79" xfId="0" applyFont="1" applyFill="1" applyBorder="1" applyAlignment="1">
      <alignment horizontal="left" vertical="center"/>
    </xf>
    <xf numFmtId="0" fontId="11" fillId="19" borderId="67" xfId="0" applyFont="1" applyFill="1" applyBorder="1" applyAlignment="1">
      <alignment horizontal="left" vertical="center"/>
    </xf>
    <xf numFmtId="0" fontId="11" fillId="19" borderId="76" xfId="0" applyFont="1" applyFill="1" applyBorder="1" applyAlignment="1">
      <alignment horizontal="left" vertical="center"/>
    </xf>
    <xf numFmtId="0" fontId="11" fillId="20" borderId="78" xfId="0" applyFont="1" applyFill="1" applyBorder="1" applyAlignment="1">
      <alignment horizontal="left" vertical="center"/>
    </xf>
    <xf numFmtId="0" fontId="11" fillId="20" borderId="79" xfId="0" applyFont="1" applyFill="1" applyBorder="1" applyAlignment="1">
      <alignment horizontal="left" vertical="center"/>
    </xf>
    <xf numFmtId="0" fontId="11" fillId="20" borderId="67" xfId="0" applyFont="1" applyFill="1" applyBorder="1" applyAlignment="1">
      <alignment horizontal="left" vertical="center"/>
    </xf>
    <xf numFmtId="0" fontId="11" fillId="20" borderId="76" xfId="0" applyFont="1" applyFill="1" applyBorder="1" applyAlignment="1">
      <alignment horizontal="left" vertical="center"/>
    </xf>
    <xf numFmtId="0" fontId="11" fillId="16" borderId="78" xfId="0" applyFont="1" applyFill="1" applyBorder="1" applyAlignment="1">
      <alignment horizontal="left" vertical="center"/>
    </xf>
    <xf numFmtId="0" fontId="11" fillId="16" borderId="79" xfId="0" applyFont="1" applyFill="1" applyBorder="1" applyAlignment="1">
      <alignment horizontal="left" vertical="center"/>
    </xf>
    <xf numFmtId="0" fontId="11" fillId="16" borderId="67" xfId="0" applyFont="1" applyFill="1" applyBorder="1" applyAlignment="1">
      <alignment horizontal="left" vertical="center"/>
    </xf>
    <xf numFmtId="0" fontId="11" fillId="16" borderId="76" xfId="0" applyFont="1" applyFill="1" applyBorder="1" applyAlignment="1">
      <alignment horizontal="left" vertical="center"/>
    </xf>
    <xf numFmtId="0" fontId="6" fillId="17" borderId="60" xfId="0" applyFont="1" applyFill="1" applyBorder="1" applyAlignment="1">
      <alignment horizontal="center" vertical="center"/>
    </xf>
    <xf numFmtId="0" fontId="6" fillId="17" borderId="69" xfId="0" applyFont="1" applyFill="1" applyBorder="1" applyAlignment="1">
      <alignment horizontal="center" vertical="center"/>
    </xf>
    <xf numFmtId="0" fontId="11" fillId="0" borderId="66" xfId="0" applyFont="1" applyBorder="1"/>
    <xf numFmtId="0" fontId="11" fillId="0" borderId="0" xfId="0" applyFont="1"/>
    <xf numFmtId="0" fontId="11" fillId="13" borderId="66" xfId="0" applyFont="1" applyFill="1" applyBorder="1"/>
    <xf numFmtId="0" fontId="11" fillId="13" borderId="0" xfId="0" applyFont="1" applyFill="1"/>
    <xf numFmtId="0" fontId="11" fillId="0" borderId="67" xfId="0" applyFont="1" applyBorder="1"/>
    <xf numFmtId="0" fontId="11" fillId="0" borderId="76" xfId="0" applyFont="1" applyBorder="1"/>
    <xf numFmtId="0" fontId="15" fillId="18" borderId="60" xfId="0" applyFont="1" applyFill="1" applyBorder="1" applyAlignment="1">
      <alignment horizontal="center" vertical="center"/>
    </xf>
    <xf numFmtId="0" fontId="15" fillId="18" borderId="68" xfId="0" applyFont="1" applyFill="1" applyBorder="1" applyAlignment="1">
      <alignment horizontal="center" vertical="center"/>
    </xf>
    <xf numFmtId="0" fontId="15" fillId="20" borderId="60" xfId="0" applyFont="1" applyFill="1" applyBorder="1" applyAlignment="1">
      <alignment horizontal="center" vertical="center"/>
    </xf>
    <xf numFmtId="0" fontId="15" fillId="20" borderId="68" xfId="0" applyFont="1" applyFill="1" applyBorder="1" applyAlignment="1">
      <alignment horizontal="center" vertical="center"/>
    </xf>
    <xf numFmtId="0" fontId="15" fillId="20" borderId="69" xfId="0" applyFont="1" applyFill="1" applyBorder="1" applyAlignment="1">
      <alignment horizontal="center" vertical="center"/>
    </xf>
    <xf numFmtId="0" fontId="15" fillId="0" borderId="64" xfId="0" applyFont="1" applyBorder="1"/>
    <xf numFmtId="0" fontId="15" fillId="0" borderId="65" xfId="0" applyFont="1" applyBorder="1"/>
    <xf numFmtId="9" fontId="4" fillId="0" borderId="28" xfId="0" applyNumberFormat="1" applyFont="1" applyBorder="1" applyAlignment="1">
      <alignment horizontal="center" vertical="center"/>
    </xf>
    <xf numFmtId="9" fontId="4" fillId="0" borderId="29" xfId="0" applyNumberFormat="1" applyFont="1" applyBorder="1" applyAlignment="1">
      <alignment horizontal="center" vertical="center"/>
    </xf>
    <xf numFmtId="9" fontId="6" fillId="0" borderId="28" xfId="0" applyNumberFormat="1" applyFont="1" applyBorder="1" applyAlignment="1">
      <alignment horizontal="center" vertical="center"/>
    </xf>
    <xf numFmtId="9" fontId="6" fillId="0" borderId="29" xfId="0" applyNumberFormat="1" applyFont="1" applyBorder="1" applyAlignment="1">
      <alignment horizontal="center" vertical="center"/>
    </xf>
    <xf numFmtId="0" fontId="9" fillId="3" borderId="49" xfId="0" applyFont="1" applyFill="1" applyBorder="1" applyAlignment="1">
      <alignment horizontal="center" vertical="center"/>
    </xf>
    <xf numFmtId="0" fontId="9" fillId="3" borderId="50" xfId="0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 wrapText="1"/>
    </xf>
    <xf numFmtId="0" fontId="2" fillId="4" borderId="53" xfId="0" applyFont="1" applyFill="1" applyBorder="1" applyAlignment="1">
      <alignment horizontal="center" vertical="center" wrapText="1"/>
    </xf>
    <xf numFmtId="0" fontId="3" fillId="4" borderId="54" xfId="0" applyFont="1" applyFill="1" applyBorder="1" applyAlignment="1">
      <alignment horizontal="center" vertical="center"/>
    </xf>
    <xf numFmtId="9" fontId="4" fillId="0" borderId="25" xfId="0" applyNumberFormat="1" applyFont="1" applyBorder="1" applyAlignment="1">
      <alignment horizontal="center" vertical="center"/>
    </xf>
    <xf numFmtId="9" fontId="4" fillId="0" borderId="26" xfId="0" applyNumberFormat="1" applyFont="1" applyBorder="1" applyAlignment="1">
      <alignment horizontal="center" vertical="center"/>
    </xf>
    <xf numFmtId="9" fontId="6" fillId="0" borderId="25" xfId="0" applyNumberFormat="1" applyFont="1" applyBorder="1" applyAlignment="1">
      <alignment horizontal="center" vertical="center"/>
    </xf>
    <xf numFmtId="9" fontId="6" fillId="0" borderId="26" xfId="0" applyNumberFormat="1" applyFont="1" applyBorder="1" applyAlignment="1">
      <alignment horizontal="center" vertical="center"/>
    </xf>
    <xf numFmtId="9" fontId="2" fillId="5" borderId="6" xfId="0" applyNumberFormat="1" applyFont="1" applyFill="1" applyBorder="1" applyAlignment="1">
      <alignment horizontal="center" vertical="center"/>
    </xf>
    <xf numFmtId="9" fontId="2" fillId="5" borderId="34" xfId="0" applyNumberFormat="1" applyFont="1" applyFill="1" applyBorder="1" applyAlignment="1">
      <alignment horizontal="center" vertical="center"/>
    </xf>
    <xf numFmtId="9" fontId="2" fillId="8" borderId="6" xfId="0" applyNumberFormat="1" applyFont="1" applyFill="1" applyBorder="1" applyAlignment="1">
      <alignment horizontal="center" vertical="center"/>
    </xf>
    <xf numFmtId="9" fontId="2" fillId="5" borderId="11" xfId="0" applyNumberFormat="1" applyFont="1" applyFill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9" fontId="2" fillId="0" borderId="34" xfId="0" applyNumberFormat="1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</cellXfs>
  <cellStyles count="5">
    <cellStyle name="Comma 2" xfId="4" xr:uid="{E90E70C3-6C8E-4EC3-9C0B-F18DB2C2A7D7}"/>
    <cellStyle name="Normal" xfId="0" builtinId="0"/>
    <cellStyle name="Normal_MYOB" xfId="3" xr:uid="{3F8EEA61-47A2-4A67-9116-6CE22C002820}"/>
    <cellStyle name="Normal_Sheet1" xfId="2" xr:uid="{77CCDF5F-5127-4772-B068-E0F5849303E0}"/>
    <cellStyle name="Percent" xfId="1" builtinId="5"/>
  </cellStyles>
  <dxfs count="5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ill>
        <patternFill>
          <fgColor theme="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44546A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98BF-4D8F-48BA-B5D0-9A927C30567F}">
  <dimension ref="A1:P35"/>
  <sheetViews>
    <sheetView tabSelected="1" workbookViewId="0">
      <selection activeCell="I4" sqref="I4:I17"/>
    </sheetView>
  </sheetViews>
  <sheetFormatPr defaultRowHeight="15" x14ac:dyDescent="0.25"/>
  <cols>
    <col min="1" max="1" width="15.7109375" customWidth="1"/>
    <col min="2" max="2" width="20.85546875" customWidth="1"/>
    <col min="3" max="3" width="15.7109375" customWidth="1"/>
    <col min="4" max="4" width="17.5703125" bestFit="1" customWidth="1"/>
    <col min="5" max="15" width="15.7109375" customWidth="1"/>
  </cols>
  <sheetData>
    <row r="1" spans="1:16" ht="15.75" x14ac:dyDescent="0.25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</row>
    <row r="2" spans="1:16" ht="23.25" x14ac:dyDescent="0.25">
      <c r="A2" s="263" t="s">
        <v>186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146"/>
    </row>
    <row r="3" spans="1:16" ht="10.5" customHeight="1" thickBot="1" x14ac:dyDescent="0.3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</row>
    <row r="4" spans="1:16" ht="17.25" thickTop="1" thickBot="1" x14ac:dyDescent="0.3">
      <c r="A4" s="264" t="s">
        <v>77</v>
      </c>
      <c r="B4" s="265"/>
      <c r="C4" s="175">
        <v>45839</v>
      </c>
      <c r="D4" s="175">
        <v>45870</v>
      </c>
      <c r="E4" s="175">
        <v>45901</v>
      </c>
      <c r="F4" s="175">
        <v>45931</v>
      </c>
      <c r="G4" s="175">
        <v>45962</v>
      </c>
      <c r="H4" s="175">
        <v>45992</v>
      </c>
      <c r="I4" s="175">
        <v>46023</v>
      </c>
      <c r="J4" s="175">
        <v>46054</v>
      </c>
      <c r="K4" s="175">
        <v>46082</v>
      </c>
      <c r="L4" s="175">
        <v>46113</v>
      </c>
      <c r="M4" s="175">
        <v>46143</v>
      </c>
      <c r="N4" s="175">
        <v>46174</v>
      </c>
      <c r="O4" s="147" t="s">
        <v>0</v>
      </c>
      <c r="P4" s="148"/>
    </row>
    <row r="5" spans="1:16" ht="17.25" thickTop="1" thickBot="1" x14ac:dyDescent="0.3">
      <c r="A5" s="266" t="s">
        <v>101</v>
      </c>
      <c r="B5" s="267"/>
      <c r="C5" s="210"/>
      <c r="D5" s="211"/>
      <c r="E5" s="211" t="s">
        <v>78</v>
      </c>
      <c r="F5" s="211" t="s">
        <v>78</v>
      </c>
      <c r="G5" s="211" t="s">
        <v>78</v>
      </c>
      <c r="H5" s="211" t="s">
        <v>78</v>
      </c>
      <c r="I5" s="211" t="s">
        <v>78</v>
      </c>
      <c r="J5" s="211" t="s">
        <v>78</v>
      </c>
      <c r="K5" s="211" t="s">
        <v>78</v>
      </c>
      <c r="L5" s="211" t="s">
        <v>78</v>
      </c>
      <c r="M5" s="211" t="s">
        <v>78</v>
      </c>
      <c r="N5" s="211" t="s">
        <v>78</v>
      </c>
      <c r="O5" s="149" t="s">
        <v>78</v>
      </c>
      <c r="P5" s="146"/>
    </row>
    <row r="6" spans="1:16" ht="15.75" x14ac:dyDescent="0.25">
      <c r="A6" s="274" t="s">
        <v>104</v>
      </c>
      <c r="B6" s="275"/>
      <c r="C6" s="190">
        <v>1350599.75</v>
      </c>
      <c r="D6" s="185">
        <v>1039303.87</v>
      </c>
      <c r="E6" s="185">
        <v>1184140.2381</v>
      </c>
      <c r="F6" s="185">
        <v>948443</v>
      </c>
      <c r="G6" s="185">
        <v>782541.5</v>
      </c>
      <c r="H6" s="185">
        <v>485498</v>
      </c>
      <c r="I6" s="185">
        <v>850395.55</v>
      </c>
      <c r="J6" s="185">
        <v>60494</v>
      </c>
      <c r="K6" s="185"/>
      <c r="L6" s="185"/>
      <c r="M6" s="185"/>
      <c r="N6" s="185"/>
      <c r="O6" s="182">
        <f>SUM(C6:N6)</f>
        <v>6701415.9080999997</v>
      </c>
      <c r="P6" s="146"/>
    </row>
    <row r="7" spans="1:16" ht="16.5" thickBot="1" x14ac:dyDescent="0.3">
      <c r="A7" s="276"/>
      <c r="B7" s="277"/>
      <c r="C7" s="189">
        <f>C6/C13</f>
        <v>0.79884070601751034</v>
      </c>
      <c r="D7" s="189">
        <v>0.83398499553194194</v>
      </c>
      <c r="E7" s="189">
        <v>0.83818735840048209</v>
      </c>
      <c r="F7" s="189">
        <f>F6/F13</f>
        <v>0.7978096435833677</v>
      </c>
      <c r="G7" s="189">
        <f>G6/G13</f>
        <v>0.77777171385446464</v>
      </c>
      <c r="H7" s="189">
        <f>H6/H13</f>
        <v>0.41028968168074209</v>
      </c>
      <c r="I7" s="189">
        <f>I6/I13</f>
        <v>0.9088145393817082</v>
      </c>
      <c r="J7" s="189">
        <f>J6/J12</f>
        <v>0.87258932306316439</v>
      </c>
      <c r="K7" s="186" t="e">
        <f>K6/#REF!</f>
        <v>#REF!</v>
      </c>
      <c r="L7" s="186" t="e">
        <f>L6/#REF!</f>
        <v>#REF!</v>
      </c>
      <c r="M7" s="186" t="e">
        <f>M6/#REF!</f>
        <v>#REF!</v>
      </c>
      <c r="N7" s="186" t="e">
        <f>N6/#REF!</f>
        <v>#REF!</v>
      </c>
      <c r="O7" s="183" t="e">
        <f t="shared" ref="O7:O10" si="0">SUM(C7:N7)</f>
        <v>#REF!</v>
      </c>
      <c r="P7" s="146"/>
    </row>
    <row r="8" spans="1:16" ht="15.75" x14ac:dyDescent="0.25">
      <c r="A8" s="278" t="s">
        <v>103</v>
      </c>
      <c r="B8" s="279"/>
      <c r="C8" s="191">
        <v>340099.96</v>
      </c>
      <c r="D8" s="187">
        <v>198913.26</v>
      </c>
      <c r="E8" s="187">
        <v>76883</v>
      </c>
      <c r="F8" s="187">
        <v>230117.27</v>
      </c>
      <c r="G8" s="187">
        <v>184951.05</v>
      </c>
      <c r="H8" s="187">
        <v>685179</v>
      </c>
      <c r="I8" s="187">
        <v>87155.87</v>
      </c>
      <c r="J8" s="187">
        <v>8833</v>
      </c>
      <c r="K8" s="187"/>
      <c r="L8" s="187"/>
      <c r="M8" s="187"/>
      <c r="N8" s="187"/>
      <c r="O8" s="182">
        <f t="shared" si="0"/>
        <v>1812132.4100000001</v>
      </c>
      <c r="P8" s="146"/>
    </row>
    <row r="9" spans="1:16" ht="16.5" thickBot="1" x14ac:dyDescent="0.3">
      <c r="A9" s="280"/>
      <c r="B9" s="281"/>
      <c r="C9" s="192">
        <f>C8/C13</f>
        <v>0.20115929398248966</v>
      </c>
      <c r="D9" s="192">
        <v>0.15961710433383069</v>
      </c>
      <c r="E9" s="192">
        <v>5.3744378835551276E-2</v>
      </c>
      <c r="F9" s="192">
        <f>F8/F13</f>
        <v>0.19356964747599759</v>
      </c>
      <c r="G9" s="192">
        <f>G8/G13</f>
        <v>0.18382372709649619</v>
      </c>
      <c r="H9" s="192">
        <f>H8/H13</f>
        <v>0.57903817071198893</v>
      </c>
      <c r="I9" s="192">
        <f>I8/I13</f>
        <v>9.31431518526432E-2</v>
      </c>
      <c r="J9" s="192">
        <f>J8/J12</f>
        <v>0.12741067693683558</v>
      </c>
      <c r="K9" s="188"/>
      <c r="L9" s="188"/>
      <c r="M9" s="188"/>
      <c r="N9" s="188"/>
      <c r="O9" s="183"/>
      <c r="P9" s="146"/>
    </row>
    <row r="10" spans="1:16" ht="15.75" x14ac:dyDescent="0.25">
      <c r="A10" s="282" t="s">
        <v>99</v>
      </c>
      <c r="B10" s="283"/>
      <c r="C10" s="191">
        <v>0</v>
      </c>
      <c r="D10" s="191">
        <v>7973</v>
      </c>
      <c r="E10" s="191">
        <v>154595</v>
      </c>
      <c r="F10" s="191">
        <v>10248</v>
      </c>
      <c r="G10" s="187">
        <v>38640.410000000003</v>
      </c>
      <c r="H10" s="187">
        <v>12876</v>
      </c>
      <c r="I10" s="187">
        <v>8412.83</v>
      </c>
      <c r="J10" s="187">
        <v>0</v>
      </c>
      <c r="K10" s="187"/>
      <c r="L10" s="187"/>
      <c r="M10" s="187"/>
      <c r="N10" s="187"/>
      <c r="O10" s="182">
        <f t="shared" si="0"/>
        <v>232745.24</v>
      </c>
      <c r="P10" s="146"/>
    </row>
    <row r="11" spans="1:16" ht="16.5" thickBot="1" x14ac:dyDescent="0.3">
      <c r="A11" s="284"/>
      <c r="B11" s="285"/>
      <c r="C11" s="192">
        <f>C10/C14</f>
        <v>0</v>
      </c>
      <c r="D11" s="192">
        <v>5.2893555451326716E-3</v>
      </c>
      <c r="E11" s="192">
        <v>0.10806826276396667</v>
      </c>
      <c r="F11" s="192">
        <f>F10/F13</f>
        <v>8.6203949287857601E-3</v>
      </c>
      <c r="G11" s="192">
        <f>G10/G13</f>
        <v>3.8404887037606569E-2</v>
      </c>
      <c r="H11" s="192">
        <f>H10/H13</f>
        <v>1.0881383530562918E-2</v>
      </c>
      <c r="I11" s="192">
        <f>I10/I13</f>
        <v>8.9907599132505057E-3</v>
      </c>
      <c r="J11" s="192">
        <f>J10/J13</f>
        <v>0</v>
      </c>
      <c r="K11" s="189" t="e">
        <f>#REF!/K10</f>
        <v>#REF!</v>
      </c>
      <c r="L11" s="189" t="e">
        <f>#REF!/L10</f>
        <v>#REF!</v>
      </c>
      <c r="M11" s="189" t="e">
        <f>#REF!/M10</f>
        <v>#REF!</v>
      </c>
      <c r="N11" s="189" t="e">
        <f>#REF!/N10</f>
        <v>#REF!</v>
      </c>
      <c r="O11" s="184" t="e">
        <f>#REF!/O10</f>
        <v>#REF!</v>
      </c>
      <c r="P11" s="146"/>
    </row>
    <row r="12" spans="1:16" ht="16.5" thickBot="1" x14ac:dyDescent="0.3">
      <c r="A12" s="268" t="s">
        <v>100</v>
      </c>
      <c r="B12" s="269"/>
      <c r="C12" s="206" t="s">
        <v>107</v>
      </c>
      <c r="D12" s="206" t="s">
        <v>107</v>
      </c>
      <c r="E12" s="206" t="s">
        <v>107</v>
      </c>
      <c r="F12" s="206" t="s">
        <v>107</v>
      </c>
      <c r="G12" s="206" t="s">
        <v>107</v>
      </c>
      <c r="H12" s="206" t="s">
        <v>107</v>
      </c>
      <c r="I12" s="206" t="s">
        <v>107</v>
      </c>
      <c r="J12" s="206">
        <f>J10+J8+J6</f>
        <v>69327</v>
      </c>
      <c r="K12" s="206"/>
      <c r="L12" s="206"/>
      <c r="M12" s="206"/>
      <c r="N12" s="206"/>
      <c r="O12" s="207"/>
      <c r="P12" s="146"/>
    </row>
    <row r="13" spans="1:16" ht="16.5" thickBot="1" x14ac:dyDescent="0.3">
      <c r="A13" s="299" t="s">
        <v>106</v>
      </c>
      <c r="B13" s="300"/>
      <c r="C13" s="212">
        <v>1690699.71</v>
      </c>
      <c r="D13" s="212">
        <v>1246190.1322999999</v>
      </c>
      <c r="E13" s="212">
        <v>1415618.2381</v>
      </c>
      <c r="F13" s="212">
        <v>1188808.6433000001</v>
      </c>
      <c r="G13" s="212">
        <v>1006132.63</v>
      </c>
      <c r="H13" s="212">
        <v>1183305.4099999999</v>
      </c>
      <c r="I13" s="212">
        <v>935719.57</v>
      </c>
      <c r="J13" s="208">
        <v>44504</v>
      </c>
      <c r="K13" s="208">
        <f>'25-26 Budget-Actual Invoiced'!M272</f>
        <v>0</v>
      </c>
      <c r="L13" s="208">
        <f>'25-26 Budget-Actual Invoiced'!N272</f>
        <v>0</v>
      </c>
      <c r="M13" s="208">
        <f>'25-26 Budget-Actual Invoiced'!O272</f>
        <v>0</v>
      </c>
      <c r="N13" s="208">
        <f>'25-26 Budget-Actual Invoiced'!P272</f>
        <v>0</v>
      </c>
      <c r="O13" s="209">
        <f>SUM(C13:N13)</f>
        <v>8710978.3336999994</v>
      </c>
      <c r="P13" s="146"/>
    </row>
    <row r="14" spans="1:16" s="178" customFormat="1" ht="16.5" thickBot="1" x14ac:dyDescent="0.3">
      <c r="A14" s="270" t="s">
        <v>1</v>
      </c>
      <c r="B14" s="271"/>
      <c r="C14" s="179">
        <f>'25-26 Budget-Actual Invoiced'!E273</f>
        <v>1367915</v>
      </c>
      <c r="D14" s="179">
        <f>'25-26 Budget-Actual Invoiced'!F273</f>
        <v>1447617</v>
      </c>
      <c r="E14" s="179">
        <f>'25-26 Budget-Actual Invoiced'!G273</f>
        <v>1634117</v>
      </c>
      <c r="F14" s="179">
        <f>'25-26 Budget-Actual Invoiced'!H273</f>
        <v>1176017</v>
      </c>
      <c r="G14" s="179">
        <f>'25-26 Budget-Actual Invoiced'!I273</f>
        <v>1174967</v>
      </c>
      <c r="H14" s="179">
        <f>'25-26 Budget-Actual Invoiced'!J273</f>
        <v>1061017</v>
      </c>
      <c r="I14" s="179">
        <f>'25-26 Budget-Actual Invoiced'!K273</f>
        <v>1088017</v>
      </c>
      <c r="J14" s="179">
        <f>'25-26 Budget-Actual Invoiced'!L273</f>
        <v>1260017</v>
      </c>
      <c r="K14" s="179">
        <f>'25-26 Budget-Actual Invoiced'!M273</f>
        <v>1386767</v>
      </c>
      <c r="L14" s="179">
        <f>'25-26 Budget-Actual Invoiced'!N273</f>
        <v>1446717</v>
      </c>
      <c r="M14" s="179">
        <f>'25-26 Budget-Actual Invoiced'!O273</f>
        <v>1599667</v>
      </c>
      <c r="N14" s="179">
        <f>'25-26 Budget-Actual Invoiced'!P273</f>
        <v>1358665</v>
      </c>
      <c r="O14" s="180">
        <f>SUM(C14:N14)</f>
        <v>16001500</v>
      </c>
      <c r="P14" s="177"/>
    </row>
    <row r="15" spans="1:16" ht="15.75" x14ac:dyDescent="0.25">
      <c r="A15" s="288" t="s">
        <v>2</v>
      </c>
      <c r="B15" s="289"/>
      <c r="C15" s="157">
        <f t="shared" ref="C15:H15" si="1">C13/C14</f>
        <v>1.2359683971591802</v>
      </c>
      <c r="D15" s="157">
        <f t="shared" si="1"/>
        <v>0.86085624326047561</v>
      </c>
      <c r="E15" s="157">
        <f t="shared" si="1"/>
        <v>0.8662894016156738</v>
      </c>
      <c r="F15" s="157">
        <f t="shared" si="1"/>
        <v>1.0108770904672297</v>
      </c>
      <c r="G15" s="157">
        <f t="shared" si="1"/>
        <v>0.85630713883879295</v>
      </c>
      <c r="H15" s="157">
        <f t="shared" si="1"/>
        <v>1.1152558441570681</v>
      </c>
      <c r="I15" s="157">
        <f t="shared" ref="I15" si="2">I13/I14</f>
        <v>0.8600229316269874</v>
      </c>
      <c r="J15" s="157">
        <f t="shared" ref="I15:O15" si="3">J12/J14</f>
        <v>5.5020686228836595E-2</v>
      </c>
      <c r="K15" s="157">
        <f t="shared" si="3"/>
        <v>0</v>
      </c>
      <c r="L15" s="157">
        <f t="shared" si="3"/>
        <v>0</v>
      </c>
      <c r="M15" s="157">
        <f t="shared" si="3"/>
        <v>0</v>
      </c>
      <c r="N15" s="157">
        <f t="shared" si="3"/>
        <v>0</v>
      </c>
      <c r="O15" s="205">
        <f t="shared" si="3"/>
        <v>0</v>
      </c>
      <c r="P15" s="146"/>
    </row>
    <row r="16" spans="1:16" ht="15.75" x14ac:dyDescent="0.25">
      <c r="A16" s="290" t="s">
        <v>3</v>
      </c>
      <c r="B16" s="291"/>
      <c r="C16" s="158">
        <f t="shared" ref="C16:H16" si="4">C13-C14</f>
        <v>322784.70999999996</v>
      </c>
      <c r="D16" s="158">
        <f t="shared" si="4"/>
        <v>-201426.86770000006</v>
      </c>
      <c r="E16" s="158">
        <f t="shared" si="4"/>
        <v>-218498.76190000004</v>
      </c>
      <c r="F16" s="158">
        <f t="shared" si="4"/>
        <v>12791.643300000113</v>
      </c>
      <c r="G16" s="158">
        <f t="shared" si="4"/>
        <v>-168834.37</v>
      </c>
      <c r="H16" s="158">
        <f t="shared" si="4"/>
        <v>122288.40999999992</v>
      </c>
      <c r="I16" s="158">
        <f t="shared" ref="I16" si="5">I13-I14</f>
        <v>-152297.43000000005</v>
      </c>
      <c r="J16" s="158">
        <f t="shared" ref="I16:N16" si="6">J12-J14</f>
        <v>-1190690</v>
      </c>
      <c r="K16" s="158">
        <f t="shared" si="6"/>
        <v>-1386767</v>
      </c>
      <c r="L16" s="158">
        <f t="shared" si="6"/>
        <v>-1446717</v>
      </c>
      <c r="M16" s="158">
        <f t="shared" si="6"/>
        <v>-1599667</v>
      </c>
      <c r="N16" s="158">
        <f t="shared" si="6"/>
        <v>-1358665</v>
      </c>
      <c r="O16" s="159">
        <f>SUM(C16:N16)</f>
        <v>-7265698.6663000006</v>
      </c>
      <c r="P16" s="148"/>
    </row>
    <row r="17" spans="1:16" ht="16.5" thickBot="1" x14ac:dyDescent="0.3">
      <c r="A17" s="292" t="s">
        <v>4</v>
      </c>
      <c r="B17" s="293"/>
      <c r="C17" s="160">
        <f t="shared" ref="C17:O17" si="7">C16/C14</f>
        <v>0.23596839715918019</v>
      </c>
      <c r="D17" s="160">
        <f t="shared" ref="D17" si="8">D16/D14</f>
        <v>-0.13914375673952437</v>
      </c>
      <c r="E17" s="160">
        <f>E16/E14</f>
        <v>-0.13371059838432625</v>
      </c>
      <c r="F17" s="160">
        <f>F16/F14</f>
        <v>1.0877090467229737E-2</v>
      </c>
      <c r="G17" s="160">
        <f>G16/G14</f>
        <v>-0.14369286116120708</v>
      </c>
      <c r="H17" s="160">
        <f t="shared" si="7"/>
        <v>0.11525584415706809</v>
      </c>
      <c r="I17" s="160">
        <f t="shared" ref="I17" si="9">I16/I14</f>
        <v>-0.1399770683730126</v>
      </c>
      <c r="J17" s="160">
        <f t="shared" si="7"/>
        <v>-0.9449793137711634</v>
      </c>
      <c r="K17" s="160">
        <f t="shared" si="7"/>
        <v>-1</v>
      </c>
      <c r="L17" s="160">
        <f t="shared" si="7"/>
        <v>-1</v>
      </c>
      <c r="M17" s="160">
        <f t="shared" si="7"/>
        <v>-1</v>
      </c>
      <c r="N17" s="160">
        <f t="shared" si="7"/>
        <v>-1</v>
      </c>
      <c r="O17" s="161">
        <f t="shared" si="7"/>
        <v>-0.45406359818142056</v>
      </c>
      <c r="P17" s="148"/>
    </row>
    <row r="18" spans="1:16" ht="9.75" customHeight="1" thickBot="1" x14ac:dyDescent="0.3">
      <c r="A18" s="176"/>
      <c r="B18" s="176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48"/>
    </row>
    <row r="19" spans="1:16" ht="16.5" thickTop="1" x14ac:dyDescent="0.25">
      <c r="A19" s="294" t="s">
        <v>79</v>
      </c>
      <c r="B19" s="193" t="s">
        <v>80</v>
      </c>
      <c r="C19" s="152">
        <v>0</v>
      </c>
      <c r="D19" s="152">
        <v>0</v>
      </c>
      <c r="E19" s="165">
        <v>0</v>
      </c>
      <c r="F19" s="165">
        <v>0</v>
      </c>
      <c r="G19" s="165">
        <v>0</v>
      </c>
      <c r="H19" s="165">
        <v>0</v>
      </c>
      <c r="I19" s="165">
        <v>0</v>
      </c>
      <c r="J19" s="165">
        <v>425355</v>
      </c>
      <c r="K19" s="165">
        <v>86437</v>
      </c>
      <c r="L19" s="165">
        <v>331995</v>
      </c>
      <c r="M19" s="165">
        <v>0</v>
      </c>
      <c r="N19" s="170">
        <v>0</v>
      </c>
      <c r="O19" s="172">
        <f>SUM(C19:N19)</f>
        <v>843787</v>
      </c>
      <c r="P19" s="153"/>
    </row>
    <row r="20" spans="1:16" ht="15.75" x14ac:dyDescent="0.25">
      <c r="A20" s="295"/>
      <c r="B20" s="194" t="s">
        <v>81</v>
      </c>
      <c r="C20" s="162">
        <v>0</v>
      </c>
      <c r="D20" s="162">
        <v>0</v>
      </c>
      <c r="E20" s="162">
        <v>0</v>
      </c>
      <c r="F20" s="162">
        <v>0</v>
      </c>
      <c r="G20" s="162">
        <v>0</v>
      </c>
      <c r="H20" s="162">
        <v>0</v>
      </c>
      <c r="I20" s="162">
        <v>0</v>
      </c>
      <c r="J20" s="162">
        <v>809</v>
      </c>
      <c r="K20" s="162">
        <v>2</v>
      </c>
      <c r="L20" s="162">
        <v>1</v>
      </c>
      <c r="M20" s="162">
        <v>0</v>
      </c>
      <c r="N20" s="167">
        <v>0</v>
      </c>
      <c r="O20" s="173">
        <f t="shared" ref="O20:O34" si="10">SUM(C20:N20)</f>
        <v>812</v>
      </c>
      <c r="P20" s="155"/>
    </row>
    <row r="21" spans="1:16" ht="15.75" x14ac:dyDescent="0.25">
      <c r="A21" s="295"/>
      <c r="B21" s="195" t="s">
        <v>82</v>
      </c>
      <c r="C21" s="166">
        <v>0</v>
      </c>
      <c r="D21" s="166">
        <v>0</v>
      </c>
      <c r="E21" s="166">
        <v>0</v>
      </c>
      <c r="F21" s="166">
        <v>0</v>
      </c>
      <c r="G21" s="166">
        <v>0</v>
      </c>
      <c r="H21" s="166">
        <v>0</v>
      </c>
      <c r="I21" s="166">
        <v>0</v>
      </c>
      <c r="J21" s="166">
        <v>10480</v>
      </c>
      <c r="K21" s="166">
        <v>80</v>
      </c>
      <c r="L21" s="166">
        <v>0</v>
      </c>
      <c r="M21" s="166">
        <v>0</v>
      </c>
      <c r="N21" s="168">
        <v>0</v>
      </c>
      <c r="O21" s="173">
        <f t="shared" si="10"/>
        <v>10560</v>
      </c>
      <c r="P21" s="153"/>
    </row>
    <row r="22" spans="1:16" ht="15.75" x14ac:dyDescent="0.25">
      <c r="A22" s="295"/>
      <c r="B22" s="196" t="s">
        <v>83</v>
      </c>
      <c r="C22" s="162">
        <v>0</v>
      </c>
      <c r="D22" s="162">
        <v>0</v>
      </c>
      <c r="E22" s="162">
        <v>0</v>
      </c>
      <c r="F22" s="162">
        <v>0</v>
      </c>
      <c r="G22" s="162">
        <v>0</v>
      </c>
      <c r="H22" s="162">
        <v>0</v>
      </c>
      <c r="I22" s="162">
        <v>0</v>
      </c>
      <c r="J22" s="162">
        <v>104</v>
      </c>
      <c r="K22" s="162">
        <v>1</v>
      </c>
      <c r="L22" s="162">
        <v>0</v>
      </c>
      <c r="M22" s="162">
        <v>0</v>
      </c>
      <c r="N22" s="167">
        <v>0</v>
      </c>
      <c r="O22" s="173">
        <f t="shared" si="10"/>
        <v>105</v>
      </c>
      <c r="P22" s="155"/>
    </row>
    <row r="23" spans="1:16" ht="15.75" x14ac:dyDescent="0.25">
      <c r="A23" s="295"/>
      <c r="B23" s="195" t="s">
        <v>84</v>
      </c>
      <c r="C23" s="166">
        <v>0</v>
      </c>
      <c r="D23" s="166">
        <v>0</v>
      </c>
      <c r="E23" s="166">
        <v>0</v>
      </c>
      <c r="F23" s="166">
        <v>0</v>
      </c>
      <c r="G23" s="166">
        <v>0</v>
      </c>
      <c r="H23" s="166">
        <v>0</v>
      </c>
      <c r="I23" s="166">
        <v>0</v>
      </c>
      <c r="J23" s="166">
        <v>144427</v>
      </c>
      <c r="K23" s="166">
        <v>0</v>
      </c>
      <c r="L23" s="166">
        <v>0</v>
      </c>
      <c r="M23" s="166">
        <v>0</v>
      </c>
      <c r="N23" s="168">
        <v>0</v>
      </c>
      <c r="O23" s="173">
        <f t="shared" si="10"/>
        <v>144427</v>
      </c>
      <c r="P23" s="153"/>
    </row>
    <row r="24" spans="1:16" ht="16.5" thickBot="1" x14ac:dyDescent="0.3">
      <c r="A24" s="295"/>
      <c r="B24" s="197" t="s">
        <v>85</v>
      </c>
      <c r="C24" s="163">
        <v>0</v>
      </c>
      <c r="D24" s="163">
        <v>0</v>
      </c>
      <c r="E24" s="163">
        <v>0</v>
      </c>
      <c r="F24" s="163">
        <v>0</v>
      </c>
      <c r="G24" s="163">
        <v>0</v>
      </c>
      <c r="H24" s="163">
        <v>0</v>
      </c>
      <c r="I24" s="163">
        <v>0</v>
      </c>
      <c r="J24" s="163">
        <v>69</v>
      </c>
      <c r="K24" s="163">
        <v>0</v>
      </c>
      <c r="L24" s="163">
        <v>0</v>
      </c>
      <c r="M24" s="163">
        <v>0</v>
      </c>
      <c r="N24" s="169">
        <v>0</v>
      </c>
      <c r="O24" s="174">
        <f t="shared" si="10"/>
        <v>69</v>
      </c>
      <c r="P24" s="155"/>
    </row>
    <row r="25" spans="1:16" ht="16.5" thickTop="1" x14ac:dyDescent="0.25">
      <c r="A25" s="296" t="s">
        <v>86</v>
      </c>
      <c r="B25" s="193" t="s">
        <v>80</v>
      </c>
      <c r="C25" s="165">
        <v>0</v>
      </c>
      <c r="D25" s="165">
        <v>0</v>
      </c>
      <c r="E25" s="165">
        <v>0</v>
      </c>
      <c r="F25" s="165">
        <v>0</v>
      </c>
      <c r="G25" s="165">
        <v>0</v>
      </c>
      <c r="H25" s="165">
        <v>0</v>
      </c>
      <c r="I25" s="165">
        <v>0</v>
      </c>
      <c r="J25" s="165">
        <v>20795</v>
      </c>
      <c r="K25" s="165">
        <v>0</v>
      </c>
      <c r="L25" s="165">
        <v>0</v>
      </c>
      <c r="M25" s="165">
        <v>0</v>
      </c>
      <c r="N25" s="170">
        <v>0</v>
      </c>
      <c r="O25" s="172">
        <f t="shared" si="10"/>
        <v>20795</v>
      </c>
      <c r="P25" s="154"/>
    </row>
    <row r="26" spans="1:16" ht="15.75" x14ac:dyDescent="0.25">
      <c r="A26" s="297"/>
      <c r="B26" s="196" t="s">
        <v>81</v>
      </c>
      <c r="C26" s="162">
        <v>0</v>
      </c>
      <c r="D26" s="162">
        <v>0</v>
      </c>
      <c r="E26" s="162">
        <v>0</v>
      </c>
      <c r="F26" s="162">
        <v>0</v>
      </c>
      <c r="G26" s="162">
        <v>0</v>
      </c>
      <c r="H26" s="162">
        <v>0</v>
      </c>
      <c r="I26" s="162">
        <v>0</v>
      </c>
      <c r="J26" s="162">
        <v>235</v>
      </c>
      <c r="K26" s="162">
        <v>0</v>
      </c>
      <c r="L26" s="162">
        <v>0</v>
      </c>
      <c r="M26" s="162">
        <v>0</v>
      </c>
      <c r="N26" s="167">
        <v>0</v>
      </c>
      <c r="O26" s="173">
        <f t="shared" si="10"/>
        <v>235</v>
      </c>
      <c r="P26" s="156"/>
    </row>
    <row r="27" spans="1:16" ht="15.75" x14ac:dyDescent="0.25">
      <c r="A27" s="297"/>
      <c r="B27" s="195" t="s">
        <v>82</v>
      </c>
      <c r="C27" s="166">
        <v>0</v>
      </c>
      <c r="D27" s="166">
        <v>0</v>
      </c>
      <c r="E27" s="166">
        <v>0</v>
      </c>
      <c r="F27" s="166">
        <v>0</v>
      </c>
      <c r="G27" s="166">
        <v>0</v>
      </c>
      <c r="H27" s="166">
        <v>0</v>
      </c>
      <c r="I27" s="166">
        <v>0</v>
      </c>
      <c r="J27" s="166">
        <v>0</v>
      </c>
      <c r="K27" s="166">
        <v>0</v>
      </c>
      <c r="L27" s="166">
        <v>0</v>
      </c>
      <c r="M27" s="166">
        <v>0</v>
      </c>
      <c r="N27" s="168">
        <v>0</v>
      </c>
      <c r="O27" s="173">
        <f t="shared" si="10"/>
        <v>0</v>
      </c>
      <c r="P27" s="154"/>
    </row>
    <row r="28" spans="1:16" ht="16.5" thickBot="1" x14ac:dyDescent="0.3">
      <c r="A28" s="298"/>
      <c r="B28" s="198" t="s">
        <v>83</v>
      </c>
      <c r="C28" s="164">
        <v>0</v>
      </c>
      <c r="D28" s="164">
        <v>0</v>
      </c>
      <c r="E28" s="164">
        <v>0</v>
      </c>
      <c r="F28" s="164">
        <v>0</v>
      </c>
      <c r="G28" s="164">
        <v>0</v>
      </c>
      <c r="H28" s="164">
        <v>0</v>
      </c>
      <c r="I28" s="164">
        <v>0</v>
      </c>
      <c r="J28" s="164">
        <v>0</v>
      </c>
      <c r="K28" s="164">
        <v>0</v>
      </c>
      <c r="L28" s="164">
        <v>0</v>
      </c>
      <c r="M28" s="164">
        <v>0</v>
      </c>
      <c r="N28" s="171">
        <v>0</v>
      </c>
      <c r="O28" s="174">
        <f t="shared" si="10"/>
        <v>0</v>
      </c>
      <c r="P28" s="156"/>
    </row>
    <row r="29" spans="1:16" ht="16.5" thickTop="1" x14ac:dyDescent="0.25">
      <c r="A29" s="272" t="s">
        <v>102</v>
      </c>
      <c r="B29" s="193" t="s">
        <v>80</v>
      </c>
      <c r="C29" s="165">
        <v>0</v>
      </c>
      <c r="D29" s="165">
        <v>0</v>
      </c>
      <c r="E29" s="165">
        <v>0</v>
      </c>
      <c r="F29" s="165">
        <v>0</v>
      </c>
      <c r="G29" s="165">
        <v>0</v>
      </c>
      <c r="H29" s="165">
        <v>0</v>
      </c>
      <c r="I29" s="165">
        <v>0</v>
      </c>
      <c r="J29" s="165">
        <v>8125</v>
      </c>
      <c r="K29" s="165">
        <v>0</v>
      </c>
      <c r="L29" s="165">
        <v>0</v>
      </c>
      <c r="M29" s="165">
        <v>0</v>
      </c>
      <c r="N29" s="170">
        <v>0</v>
      </c>
      <c r="O29" s="172">
        <f t="shared" ref="O29:O32" si="11">SUM(C29:N29)</f>
        <v>8125</v>
      </c>
      <c r="P29" s="156"/>
    </row>
    <row r="30" spans="1:16" ht="15.75" x14ac:dyDescent="0.25">
      <c r="A30" s="273"/>
      <c r="B30" s="196" t="s">
        <v>81</v>
      </c>
      <c r="C30" s="162">
        <v>0</v>
      </c>
      <c r="D30" s="162">
        <v>0</v>
      </c>
      <c r="E30" s="162">
        <v>0</v>
      </c>
      <c r="F30" s="162">
        <v>0</v>
      </c>
      <c r="G30" s="162">
        <v>0</v>
      </c>
      <c r="H30" s="162">
        <v>0</v>
      </c>
      <c r="I30" s="162">
        <v>0</v>
      </c>
      <c r="J30" s="162">
        <v>22</v>
      </c>
      <c r="K30" s="162">
        <v>0</v>
      </c>
      <c r="L30" s="162">
        <v>0</v>
      </c>
      <c r="M30" s="162">
        <v>0</v>
      </c>
      <c r="N30" s="167">
        <v>0</v>
      </c>
      <c r="O30" s="173">
        <f t="shared" si="11"/>
        <v>22</v>
      </c>
      <c r="P30" s="156"/>
    </row>
    <row r="31" spans="1:16" ht="15.75" x14ac:dyDescent="0.25">
      <c r="A31" s="273"/>
      <c r="B31" s="195" t="s">
        <v>82</v>
      </c>
      <c r="C31" s="166">
        <v>0</v>
      </c>
      <c r="D31" s="166">
        <v>0</v>
      </c>
      <c r="E31" s="166">
        <v>0</v>
      </c>
      <c r="F31" s="166">
        <v>0</v>
      </c>
      <c r="G31" s="166">
        <v>0</v>
      </c>
      <c r="H31" s="166">
        <v>0</v>
      </c>
      <c r="I31" s="166">
        <v>0</v>
      </c>
      <c r="J31" s="166">
        <v>0</v>
      </c>
      <c r="K31" s="166">
        <v>0</v>
      </c>
      <c r="L31" s="166">
        <v>0</v>
      </c>
      <c r="M31" s="166">
        <v>0</v>
      </c>
      <c r="N31" s="168">
        <v>0</v>
      </c>
      <c r="O31" s="173">
        <f t="shared" si="11"/>
        <v>0</v>
      </c>
      <c r="P31" s="156"/>
    </row>
    <row r="32" spans="1:16" ht="16.5" thickBot="1" x14ac:dyDescent="0.3">
      <c r="A32" s="273"/>
      <c r="B32" s="198" t="s">
        <v>83</v>
      </c>
      <c r="C32" s="164">
        <v>0</v>
      </c>
      <c r="D32" s="164">
        <v>0</v>
      </c>
      <c r="E32" s="164">
        <v>0</v>
      </c>
      <c r="F32" s="164">
        <v>0</v>
      </c>
      <c r="G32" s="164">
        <v>0</v>
      </c>
      <c r="H32" s="164">
        <v>0</v>
      </c>
      <c r="I32" s="164">
        <v>0</v>
      </c>
      <c r="J32" s="164">
        <v>0</v>
      </c>
      <c r="K32" s="164">
        <v>0</v>
      </c>
      <c r="L32" s="164">
        <v>0</v>
      </c>
      <c r="M32" s="164">
        <v>0</v>
      </c>
      <c r="N32" s="171">
        <v>0</v>
      </c>
      <c r="O32" s="174">
        <f t="shared" si="11"/>
        <v>0</v>
      </c>
      <c r="P32" s="156"/>
    </row>
    <row r="33" spans="1:16" ht="16.5" thickTop="1" x14ac:dyDescent="0.25">
      <c r="A33" s="286" t="s">
        <v>87</v>
      </c>
      <c r="B33" s="199" t="s">
        <v>88</v>
      </c>
      <c r="C33" s="200">
        <f>SUM(C27,C25,C23,C21,C19,C29,C31)</f>
        <v>0</v>
      </c>
      <c r="D33" s="200">
        <f t="shared" ref="D33:N33" si="12">SUM(D27,D25,D23,D21,D19,D29,D31)</f>
        <v>0</v>
      </c>
      <c r="E33" s="200">
        <f t="shared" si="12"/>
        <v>0</v>
      </c>
      <c r="F33" s="200">
        <f t="shared" si="12"/>
        <v>0</v>
      </c>
      <c r="G33" s="200">
        <f t="shared" si="12"/>
        <v>0</v>
      </c>
      <c r="H33" s="200">
        <f t="shared" si="12"/>
        <v>0</v>
      </c>
      <c r="I33" s="200">
        <f t="shared" si="12"/>
        <v>0</v>
      </c>
      <c r="J33" s="200">
        <f t="shared" si="12"/>
        <v>609182</v>
      </c>
      <c r="K33" s="200">
        <f t="shared" si="12"/>
        <v>86517</v>
      </c>
      <c r="L33" s="200">
        <f t="shared" si="12"/>
        <v>331995</v>
      </c>
      <c r="M33" s="200">
        <f t="shared" si="12"/>
        <v>0</v>
      </c>
      <c r="N33" s="200">
        <f t="shared" si="12"/>
        <v>0</v>
      </c>
      <c r="O33" s="201">
        <f t="shared" si="10"/>
        <v>1027694</v>
      </c>
      <c r="P33" s="154"/>
    </row>
    <row r="34" spans="1:16" ht="16.5" thickBot="1" x14ac:dyDescent="0.3">
      <c r="A34" s="287"/>
      <c r="B34" s="202" t="s">
        <v>89</v>
      </c>
      <c r="C34" s="203">
        <f>SUM(C28,C26,C24,C22,C20,C30,C32)</f>
        <v>0</v>
      </c>
      <c r="D34" s="203">
        <f t="shared" ref="D34:N34" si="13">SUM(D28,D26,D24,D22,D20,D30,D32)</f>
        <v>0</v>
      </c>
      <c r="E34" s="203">
        <f t="shared" si="13"/>
        <v>0</v>
      </c>
      <c r="F34" s="203">
        <f t="shared" si="13"/>
        <v>0</v>
      </c>
      <c r="G34" s="203">
        <f t="shared" si="13"/>
        <v>0</v>
      </c>
      <c r="H34" s="203">
        <f t="shared" si="13"/>
        <v>0</v>
      </c>
      <c r="I34" s="203">
        <f t="shared" si="13"/>
        <v>0</v>
      </c>
      <c r="J34" s="203">
        <f t="shared" si="13"/>
        <v>1239</v>
      </c>
      <c r="K34" s="203">
        <f t="shared" si="13"/>
        <v>3</v>
      </c>
      <c r="L34" s="203">
        <f t="shared" si="13"/>
        <v>1</v>
      </c>
      <c r="M34" s="203">
        <f t="shared" si="13"/>
        <v>0</v>
      </c>
      <c r="N34" s="203">
        <f t="shared" si="13"/>
        <v>0</v>
      </c>
      <c r="O34" s="204">
        <f t="shared" si="10"/>
        <v>1243</v>
      </c>
      <c r="P34" s="156"/>
    </row>
    <row r="35" spans="1:16" ht="16.5" thickTop="1" x14ac:dyDescent="0.25">
      <c r="A35" s="150"/>
      <c r="B35" s="150"/>
      <c r="C35" s="252"/>
      <c r="D35" s="150"/>
      <c r="E35" s="150"/>
      <c r="F35" s="150"/>
      <c r="G35" s="150"/>
      <c r="H35" s="150"/>
      <c r="I35" s="150"/>
      <c r="J35" s="150"/>
      <c r="K35" s="150"/>
      <c r="L35" s="151"/>
      <c r="M35" s="151"/>
      <c r="N35" s="150"/>
      <c r="O35" s="150"/>
      <c r="P35" s="151"/>
    </row>
  </sheetData>
  <mergeCells count="16">
    <mergeCell ref="A29:A32"/>
    <mergeCell ref="A6:B7"/>
    <mergeCell ref="A8:B9"/>
    <mergeCell ref="A10:B11"/>
    <mergeCell ref="A33:A34"/>
    <mergeCell ref="A15:B15"/>
    <mergeCell ref="A16:B16"/>
    <mergeCell ref="A17:B17"/>
    <mergeCell ref="A19:A24"/>
    <mergeCell ref="A25:A28"/>
    <mergeCell ref="A13:B13"/>
    <mergeCell ref="A2:O2"/>
    <mergeCell ref="A4:B4"/>
    <mergeCell ref="A5:B5"/>
    <mergeCell ref="A12:B12"/>
    <mergeCell ref="A14:B14"/>
  </mergeCells>
  <conditionalFormatting sqref="C14:N14">
    <cfRule type="containsErrors" dxfId="53" priority="4">
      <formula>ISERROR(C14)</formula>
    </cfRule>
  </conditionalFormatting>
  <conditionalFormatting sqref="C6:O11">
    <cfRule type="containsErrors" dxfId="52" priority="1">
      <formula>ISERROR(C6)</formula>
    </cfRule>
  </conditionalFormatting>
  <pageMargins left="0.7" right="0.7" top="0.75" bottom="0.75" header="0.3" footer="0.3"/>
  <ignoredErrors>
    <ignoredError sqref="K7:O7 K10:O10 K9:N9 K11:O11 K8:O8" evalError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3DA2-58F2-4CA6-B97D-601275A894A0}">
  <sheetPr>
    <tabColor theme="4"/>
  </sheetPr>
  <dimension ref="A1:AA286"/>
  <sheetViews>
    <sheetView zoomScale="70" zoomScaleNormal="70" workbookViewId="0">
      <pane xSplit="3" ySplit="2" topLeftCell="D272" activePane="bottomRight" state="frozen"/>
      <selection pane="topRight" activeCell="D1" sqref="D1"/>
      <selection pane="bottomLeft" activeCell="A3" sqref="A3"/>
      <selection pane="bottomRight" activeCell="K2" sqref="K2:K276"/>
    </sheetView>
  </sheetViews>
  <sheetFormatPr defaultRowHeight="15" outlineLevelRow="1" x14ac:dyDescent="0.2"/>
  <cols>
    <col min="1" max="1" width="27.85546875" style="135" bestFit="1" customWidth="1"/>
    <col min="2" max="2" width="20.5703125" style="135" bestFit="1" customWidth="1"/>
    <col min="3" max="3" width="42.85546875" style="135" bestFit="1" customWidth="1"/>
    <col min="4" max="4" width="15" style="135" customWidth="1"/>
    <col min="5" max="5" width="14.42578125" style="135" hidden="1" customWidth="1"/>
    <col min="6" max="6" width="15.7109375" style="135" hidden="1" customWidth="1"/>
    <col min="7" max="7" width="15.42578125" style="135" hidden="1" customWidth="1"/>
    <col min="8" max="8" width="17.5703125" style="135" hidden="1" customWidth="1"/>
    <col min="9" max="10" width="15.28515625" style="135" hidden="1" customWidth="1"/>
    <col min="11" max="11" width="15" style="135" bestFit="1" customWidth="1"/>
    <col min="12" max="12" width="15.28515625" style="135" hidden="1" customWidth="1"/>
    <col min="13" max="13" width="15.42578125" style="135" hidden="1" customWidth="1"/>
    <col min="14" max="14" width="15.28515625" style="135" hidden="1" customWidth="1"/>
    <col min="15" max="15" width="15.7109375" style="135" hidden="1" customWidth="1"/>
    <col min="16" max="17" width="15.28515625" style="135" hidden="1" customWidth="1"/>
    <col min="18" max="18" width="15" style="135" hidden="1" customWidth="1"/>
    <col min="19" max="19" width="13.140625" style="135" hidden="1" customWidth="1"/>
    <col min="20" max="20" width="43.85546875" style="135" hidden="1" customWidth="1"/>
    <col min="21" max="21" width="21" style="135" hidden="1" customWidth="1"/>
    <col min="22" max="22" width="11.5703125" style="135" customWidth="1"/>
    <col min="23" max="29" width="9.140625" style="135" customWidth="1"/>
    <col min="30" max="16384" width="9.140625" style="135"/>
  </cols>
  <sheetData>
    <row r="1" spans="1:19" ht="37.5" customHeight="1" thickTop="1" thickBot="1" x14ac:dyDescent="0.25">
      <c r="A1" s="305" t="s">
        <v>105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7"/>
      <c r="Q1" s="310" t="s">
        <v>5</v>
      </c>
      <c r="R1" s="310"/>
      <c r="S1" s="308" t="s">
        <v>6</v>
      </c>
    </row>
    <row r="2" spans="1:19" ht="33" customHeight="1" thickTop="1" thickBot="1" x14ac:dyDescent="0.25">
      <c r="A2" s="112" t="s">
        <v>7</v>
      </c>
      <c r="B2" s="113" t="s">
        <v>8</v>
      </c>
      <c r="C2" s="114" t="s">
        <v>9</v>
      </c>
      <c r="D2" s="115"/>
      <c r="E2" s="116">
        <v>45839</v>
      </c>
      <c r="F2" s="116">
        <v>45870</v>
      </c>
      <c r="G2" s="116">
        <v>45901</v>
      </c>
      <c r="H2" s="116">
        <v>45931</v>
      </c>
      <c r="I2" s="116">
        <v>45962</v>
      </c>
      <c r="J2" s="116">
        <v>45992</v>
      </c>
      <c r="K2" s="116">
        <v>46023</v>
      </c>
      <c r="L2" s="116">
        <v>46054</v>
      </c>
      <c r="M2" s="116">
        <v>46082</v>
      </c>
      <c r="N2" s="116">
        <v>46113</v>
      </c>
      <c r="O2" s="116">
        <v>46143</v>
      </c>
      <c r="P2" s="116">
        <v>46174</v>
      </c>
      <c r="Q2" s="116" t="s">
        <v>0</v>
      </c>
      <c r="R2" s="117" t="s">
        <v>10</v>
      </c>
      <c r="S2" s="309"/>
    </row>
    <row r="3" spans="1:19" ht="15.75" hidden="1" outlineLevel="1" x14ac:dyDescent="0.25">
      <c r="A3" s="216" t="s">
        <v>11</v>
      </c>
      <c r="B3" s="213" t="s">
        <v>12</v>
      </c>
      <c r="C3" s="222" t="s">
        <v>91</v>
      </c>
      <c r="D3" s="77" t="s">
        <v>14</v>
      </c>
      <c r="E3" s="78">
        <v>179440.36</v>
      </c>
      <c r="F3" s="78">
        <v>138218.79999999999</v>
      </c>
      <c r="G3" s="79">
        <v>37125.06</v>
      </c>
      <c r="H3" s="260">
        <v>166752.29</v>
      </c>
      <c r="I3" s="80">
        <v>93818.64</v>
      </c>
      <c r="J3" s="80">
        <v>61451.38</v>
      </c>
      <c r="K3" s="80">
        <v>71695.5</v>
      </c>
      <c r="L3" s="80"/>
      <c r="M3" s="80"/>
      <c r="N3" s="80"/>
      <c r="O3" s="80"/>
      <c r="P3" s="80"/>
      <c r="Q3" s="90">
        <f>+SUM(E3:P3)</f>
        <v>748502.03</v>
      </c>
      <c r="R3" s="301">
        <f>Q3/Q4</f>
        <v>0.67737740271493219</v>
      </c>
      <c r="S3" s="111">
        <v>0</v>
      </c>
    </row>
    <row r="4" spans="1:19" ht="16.5" hidden="1" outlineLevel="1" thickBot="1" x14ac:dyDescent="0.3">
      <c r="A4" s="217"/>
      <c r="B4" s="129"/>
      <c r="C4" s="223"/>
      <c r="D4" s="81" t="s">
        <v>1</v>
      </c>
      <c r="E4" s="140">
        <v>105000</v>
      </c>
      <c r="F4" s="140">
        <v>100000</v>
      </c>
      <c r="G4" s="140">
        <v>75000</v>
      </c>
      <c r="H4" s="140">
        <v>75000</v>
      </c>
      <c r="I4" s="140">
        <v>100000</v>
      </c>
      <c r="J4" s="140">
        <v>100000</v>
      </c>
      <c r="K4" s="140">
        <v>80000</v>
      </c>
      <c r="L4" s="140">
        <v>80000</v>
      </c>
      <c r="M4" s="140">
        <v>95000</v>
      </c>
      <c r="N4" s="140">
        <v>95000</v>
      </c>
      <c r="O4" s="140">
        <v>100000</v>
      </c>
      <c r="P4" s="140">
        <v>100000</v>
      </c>
      <c r="Q4" s="141">
        <f>SUM(E4:P4)</f>
        <v>1105000</v>
      </c>
      <c r="R4" s="302"/>
      <c r="S4" s="109">
        <f>Q4/$Q$273</f>
        <v>6.9056025997562734E-2</v>
      </c>
    </row>
    <row r="5" spans="1:19" ht="15.75" hidden="1" outlineLevel="1" x14ac:dyDescent="0.25">
      <c r="A5" s="216" t="s">
        <v>11</v>
      </c>
      <c r="B5" s="213" t="s">
        <v>12</v>
      </c>
      <c r="C5" s="222" t="s">
        <v>94</v>
      </c>
      <c r="D5" s="77" t="s">
        <v>14</v>
      </c>
      <c r="E5" s="78"/>
      <c r="F5" s="78">
        <v>7973.4671000000008</v>
      </c>
      <c r="G5" s="79">
        <v>154525.82570000004</v>
      </c>
      <c r="H5" s="260">
        <v>10166.720399999998</v>
      </c>
      <c r="I5" s="80">
        <v>35685.83</v>
      </c>
      <c r="J5" s="80">
        <v>12876.71</v>
      </c>
      <c r="K5" s="80">
        <v>6485.4</v>
      </c>
      <c r="L5" s="80"/>
      <c r="M5" s="80"/>
      <c r="N5" s="80"/>
      <c r="O5" s="80"/>
      <c r="P5" s="80"/>
      <c r="Q5" s="90">
        <f>+SUM(E5:P5)</f>
        <v>227713.95320000005</v>
      </c>
      <c r="R5" s="301">
        <f>Q5/Q6</f>
        <v>0.62387384438356175</v>
      </c>
      <c r="S5" s="111">
        <v>0</v>
      </c>
    </row>
    <row r="6" spans="1:19" ht="16.5" hidden="1" outlineLevel="1" thickBot="1" x14ac:dyDescent="0.3">
      <c r="A6" s="217"/>
      <c r="B6" s="129"/>
      <c r="C6" s="223"/>
      <c r="D6" s="81" t="s">
        <v>1</v>
      </c>
      <c r="E6" s="140"/>
      <c r="F6" s="140"/>
      <c r="G6" s="140">
        <v>220000</v>
      </c>
      <c r="H6" s="140">
        <v>20000</v>
      </c>
      <c r="I6" s="140">
        <v>20000</v>
      </c>
      <c r="J6" s="140">
        <v>15000</v>
      </c>
      <c r="K6" s="140">
        <v>15000</v>
      </c>
      <c r="L6" s="140">
        <v>15000</v>
      </c>
      <c r="M6" s="140">
        <v>15000</v>
      </c>
      <c r="N6" s="140">
        <v>15000</v>
      </c>
      <c r="O6" s="140">
        <v>15000</v>
      </c>
      <c r="P6" s="140">
        <v>15000</v>
      </c>
      <c r="Q6" s="141">
        <f>SUM(E6:P6)</f>
        <v>365000</v>
      </c>
      <c r="R6" s="302"/>
      <c r="S6" s="109">
        <f>Q6/$Q$273</f>
        <v>2.2810361528606694E-2</v>
      </c>
    </row>
    <row r="7" spans="1:19" ht="15.75" hidden="1" outlineLevel="1" x14ac:dyDescent="0.25">
      <c r="A7" s="216" t="s">
        <v>11</v>
      </c>
      <c r="B7" s="213" t="s">
        <v>12</v>
      </c>
      <c r="C7" s="224" t="s">
        <v>15</v>
      </c>
      <c r="D7" s="77" t="s">
        <v>14</v>
      </c>
      <c r="E7" s="78">
        <v>2856</v>
      </c>
      <c r="F7" s="78">
        <v>3702</v>
      </c>
      <c r="G7" s="79">
        <v>9691</v>
      </c>
      <c r="H7" s="260">
        <v>5660</v>
      </c>
      <c r="I7" s="80">
        <v>2115</v>
      </c>
      <c r="J7" s="80">
        <v>788.5</v>
      </c>
      <c r="K7" s="80">
        <v>2497</v>
      </c>
      <c r="L7" s="80"/>
      <c r="M7" s="80"/>
      <c r="N7" s="80"/>
      <c r="O7" s="80"/>
      <c r="P7" s="80"/>
      <c r="Q7" s="90">
        <f>+SUM(E7:P7)</f>
        <v>27309.5</v>
      </c>
      <c r="R7" s="301">
        <f>Q7/Q8</f>
        <v>0.45515833333333333</v>
      </c>
      <c r="S7" s="110">
        <v>0</v>
      </c>
    </row>
    <row r="8" spans="1:19" ht="16.5" hidden="1" outlineLevel="1" thickBot="1" x14ac:dyDescent="0.3">
      <c r="A8" s="217"/>
      <c r="B8" s="129"/>
      <c r="C8" s="225"/>
      <c r="D8" s="81" t="s">
        <v>1</v>
      </c>
      <c r="E8" s="140">
        <v>4000</v>
      </c>
      <c r="F8" s="140">
        <v>5000</v>
      </c>
      <c r="G8" s="140">
        <v>5000</v>
      </c>
      <c r="H8" s="140">
        <v>5500</v>
      </c>
      <c r="I8" s="140">
        <v>5500</v>
      </c>
      <c r="J8" s="140">
        <v>4500</v>
      </c>
      <c r="K8" s="140">
        <v>4500</v>
      </c>
      <c r="L8" s="140">
        <v>5500</v>
      </c>
      <c r="M8" s="140">
        <v>5500</v>
      </c>
      <c r="N8" s="140">
        <v>4500</v>
      </c>
      <c r="O8" s="140">
        <v>5000</v>
      </c>
      <c r="P8" s="140">
        <v>5500</v>
      </c>
      <c r="Q8" s="141">
        <f>SUM(E8:P8)</f>
        <v>60000</v>
      </c>
      <c r="R8" s="302"/>
      <c r="S8" s="109">
        <f>Q8/$Q$273</f>
        <v>3.7496484704558947E-3</v>
      </c>
    </row>
    <row r="9" spans="1:19" ht="15.75" hidden="1" outlineLevel="1" x14ac:dyDescent="0.25">
      <c r="A9" s="216" t="s">
        <v>11</v>
      </c>
      <c r="B9" s="213" t="s">
        <v>12</v>
      </c>
      <c r="C9" s="224" t="s">
        <v>17</v>
      </c>
      <c r="D9" s="77" t="s">
        <v>14</v>
      </c>
      <c r="E9" s="78">
        <v>5435.32</v>
      </c>
      <c r="F9" s="78">
        <v>7118.27</v>
      </c>
      <c r="G9" s="79">
        <v>10258.049999999999</v>
      </c>
      <c r="H9" s="260">
        <v>10005.67</v>
      </c>
      <c r="I9" s="80">
        <v>9010.5499999999993</v>
      </c>
      <c r="J9" s="80">
        <v>6255.5</v>
      </c>
      <c r="K9" s="80">
        <v>4952.32</v>
      </c>
      <c r="L9" s="80"/>
      <c r="M9" s="80"/>
      <c r="N9" s="80"/>
      <c r="O9" s="80"/>
      <c r="P9" s="80"/>
      <c r="Q9" s="90">
        <f>+SUM(E9:P9)</f>
        <v>53035.68</v>
      </c>
      <c r="R9" s="301">
        <f>Q9/Q10</f>
        <v>0.88392800000000005</v>
      </c>
      <c r="S9" s="110">
        <v>0</v>
      </c>
    </row>
    <row r="10" spans="1:19" ht="16.5" hidden="1" outlineLevel="1" thickBot="1" x14ac:dyDescent="0.3">
      <c r="A10" s="217"/>
      <c r="B10" s="129"/>
      <c r="C10" s="225"/>
      <c r="D10" s="81" t="s">
        <v>1</v>
      </c>
      <c r="E10" s="140">
        <v>6000</v>
      </c>
      <c r="F10" s="140">
        <v>6000</v>
      </c>
      <c r="G10" s="140">
        <v>6500</v>
      </c>
      <c r="H10" s="140">
        <v>4000</v>
      </c>
      <c r="I10" s="140">
        <v>4000</v>
      </c>
      <c r="J10" s="140">
        <v>3000</v>
      </c>
      <c r="K10" s="140">
        <v>4000</v>
      </c>
      <c r="L10" s="140">
        <v>3000</v>
      </c>
      <c r="M10" s="140">
        <v>6000</v>
      </c>
      <c r="N10" s="140">
        <v>6000</v>
      </c>
      <c r="O10" s="140">
        <v>5500</v>
      </c>
      <c r="P10" s="140">
        <v>6000</v>
      </c>
      <c r="Q10" s="141">
        <f>SUM(E10:P10)</f>
        <v>60000</v>
      </c>
      <c r="R10" s="302"/>
      <c r="S10" s="109">
        <f>Q10/$Q$273</f>
        <v>3.7496484704558947E-3</v>
      </c>
    </row>
    <row r="11" spans="1:19" ht="15.75" hidden="1" outlineLevel="1" x14ac:dyDescent="0.25">
      <c r="A11" s="216" t="s">
        <v>11</v>
      </c>
      <c r="B11" s="213" t="s">
        <v>12</v>
      </c>
      <c r="C11" s="224" t="s">
        <v>133</v>
      </c>
      <c r="D11" s="77" t="s">
        <v>14</v>
      </c>
      <c r="E11" s="78">
        <v>1304.78</v>
      </c>
      <c r="F11" s="78"/>
      <c r="G11" s="79">
        <v>44262</v>
      </c>
      <c r="H11" s="260">
        <v>4126</v>
      </c>
      <c r="I11" s="80">
        <v>700</v>
      </c>
      <c r="J11" s="80">
        <v>380</v>
      </c>
      <c r="K11" s="80">
        <v>3950</v>
      </c>
      <c r="L11" s="80"/>
      <c r="M11" s="80"/>
      <c r="N11" s="80"/>
      <c r="O11" s="80"/>
      <c r="P11" s="80"/>
      <c r="Q11" s="90">
        <f>+SUM(E11:P11)</f>
        <v>54722.78</v>
      </c>
      <c r="R11" s="301">
        <f>Q11/Q12</f>
        <v>0.78175399999999995</v>
      </c>
      <c r="S11" s="110">
        <v>0</v>
      </c>
    </row>
    <row r="12" spans="1:19" ht="16.5" hidden="1" outlineLevel="1" thickBot="1" x14ac:dyDescent="0.3">
      <c r="A12" s="217"/>
      <c r="B12" s="129"/>
      <c r="C12" s="225"/>
      <c r="D12" s="81" t="s">
        <v>1</v>
      </c>
      <c r="E12" s="140">
        <v>2500</v>
      </c>
      <c r="F12" s="140">
        <v>8000</v>
      </c>
      <c r="G12" s="140">
        <v>8000</v>
      </c>
      <c r="H12" s="140">
        <v>5000</v>
      </c>
      <c r="I12" s="140">
        <v>8000</v>
      </c>
      <c r="J12" s="140">
        <v>2000</v>
      </c>
      <c r="K12" s="140">
        <v>2000</v>
      </c>
      <c r="L12" s="140">
        <v>7000</v>
      </c>
      <c r="M12" s="140">
        <v>8000</v>
      </c>
      <c r="N12" s="140">
        <v>5000</v>
      </c>
      <c r="O12" s="140">
        <v>8000</v>
      </c>
      <c r="P12" s="140">
        <v>6500</v>
      </c>
      <c r="Q12" s="141">
        <f>SUM(E12:P12)</f>
        <v>70000</v>
      </c>
      <c r="R12" s="302"/>
      <c r="S12" s="109">
        <f>Q12/$Q$273</f>
        <v>4.3745898821985442E-3</v>
      </c>
    </row>
    <row r="13" spans="1:19" ht="15.75" hidden="1" outlineLevel="1" x14ac:dyDescent="0.25">
      <c r="A13" s="216" t="s">
        <v>11</v>
      </c>
      <c r="B13" s="213" t="s">
        <v>12</v>
      </c>
      <c r="C13" s="224" t="s">
        <v>18</v>
      </c>
      <c r="D13" s="77" t="s">
        <v>14</v>
      </c>
      <c r="E13" s="78">
        <v>10031.030000000001</v>
      </c>
      <c r="F13" s="78">
        <v>55953.408000000003</v>
      </c>
      <c r="G13" s="79"/>
      <c r="H13" s="260"/>
      <c r="I13" s="80"/>
      <c r="J13" s="80"/>
      <c r="K13" s="80"/>
      <c r="L13" s="80"/>
      <c r="M13" s="80"/>
      <c r="N13" s="80"/>
      <c r="O13" s="80"/>
      <c r="P13" s="80"/>
      <c r="Q13" s="90">
        <f>+SUM(E13:P13)</f>
        <v>65984.438000000009</v>
      </c>
      <c r="R13" s="301">
        <f>Q13/Q14</f>
        <v>1.0997406333333335</v>
      </c>
      <c r="S13" s="110">
        <v>0</v>
      </c>
    </row>
    <row r="14" spans="1:19" ht="16.5" hidden="1" outlineLevel="1" thickBot="1" x14ac:dyDescent="0.3">
      <c r="A14" s="217"/>
      <c r="B14" s="129"/>
      <c r="C14" s="225"/>
      <c r="D14" s="81" t="s">
        <v>1</v>
      </c>
      <c r="E14" s="140">
        <v>20000</v>
      </c>
      <c r="F14" s="140">
        <v>20000</v>
      </c>
      <c r="G14" s="140">
        <v>20000</v>
      </c>
      <c r="H14" s="140"/>
      <c r="I14" s="140"/>
      <c r="J14" s="140"/>
      <c r="K14" s="140"/>
      <c r="L14" s="140"/>
      <c r="M14" s="140"/>
      <c r="N14" s="140"/>
      <c r="O14" s="140"/>
      <c r="P14" s="140"/>
      <c r="Q14" s="141">
        <f>SUM(E14:P14)</f>
        <v>60000</v>
      </c>
      <c r="R14" s="302"/>
      <c r="S14" s="109">
        <f>Q14/$Q$273</f>
        <v>3.7496484704558947E-3</v>
      </c>
    </row>
    <row r="15" spans="1:19" ht="15.75" hidden="1" outlineLevel="1" x14ac:dyDescent="0.25">
      <c r="A15" s="216" t="s">
        <v>11</v>
      </c>
      <c r="B15" s="213" t="s">
        <v>12</v>
      </c>
      <c r="C15" s="224" t="s">
        <v>136</v>
      </c>
      <c r="D15" s="77" t="s">
        <v>14</v>
      </c>
      <c r="E15" s="78">
        <v>7328.96</v>
      </c>
      <c r="F15" s="78">
        <v>3975.5526999999997</v>
      </c>
      <c r="G15" s="79">
        <v>1436.6626000000001</v>
      </c>
      <c r="H15" s="260">
        <v>8176.3572000000004</v>
      </c>
      <c r="I15" s="80">
        <v>7295.2353999999996</v>
      </c>
      <c r="J15" s="80">
        <v>4165.96</v>
      </c>
      <c r="K15" s="80">
        <v>7468.36</v>
      </c>
      <c r="L15" s="80"/>
      <c r="M15" s="122"/>
      <c r="N15" s="122"/>
      <c r="O15" s="122"/>
      <c r="P15" s="122"/>
      <c r="Q15" s="90">
        <f>+SUM(E15:P15)</f>
        <v>39847.087899999999</v>
      </c>
      <c r="R15" s="301">
        <f>Q15/Q16</f>
        <v>0.33205906583333333</v>
      </c>
      <c r="S15" s="110">
        <v>0</v>
      </c>
    </row>
    <row r="16" spans="1:19" ht="16.5" hidden="1" outlineLevel="1" thickBot="1" x14ac:dyDescent="0.3">
      <c r="A16" s="217"/>
      <c r="B16" s="129"/>
      <c r="C16" s="225"/>
      <c r="D16" s="81" t="s">
        <v>1</v>
      </c>
      <c r="E16" s="140">
        <v>10000</v>
      </c>
      <c r="F16" s="140">
        <v>10000</v>
      </c>
      <c r="G16" s="140">
        <v>10000</v>
      </c>
      <c r="H16" s="140">
        <v>10000</v>
      </c>
      <c r="I16" s="140">
        <v>10000</v>
      </c>
      <c r="J16" s="140">
        <v>10000</v>
      </c>
      <c r="K16" s="140">
        <v>10000</v>
      </c>
      <c r="L16" s="140">
        <v>10000</v>
      </c>
      <c r="M16" s="140">
        <v>10000</v>
      </c>
      <c r="N16" s="140">
        <v>10000</v>
      </c>
      <c r="O16" s="140">
        <v>10000</v>
      </c>
      <c r="P16" s="140">
        <v>10000</v>
      </c>
      <c r="Q16" s="141">
        <f>SUM(E16:P16)</f>
        <v>120000</v>
      </c>
      <c r="R16" s="302"/>
      <c r="S16" s="109">
        <f>Q16/$Q$273</f>
        <v>7.4992969409117894E-3</v>
      </c>
    </row>
    <row r="17" spans="1:19" ht="15.75" hidden="1" customHeight="1" outlineLevel="1" x14ac:dyDescent="0.25">
      <c r="A17" s="216" t="s">
        <v>11</v>
      </c>
      <c r="B17" s="213" t="s">
        <v>12</v>
      </c>
      <c r="C17" s="224" t="s">
        <v>131</v>
      </c>
      <c r="D17" s="138" t="s">
        <v>14</v>
      </c>
      <c r="E17" s="78"/>
      <c r="F17" s="78">
        <v>8103.5</v>
      </c>
      <c r="G17" s="79">
        <v>7506.65</v>
      </c>
      <c r="H17" s="260">
        <v>8037.4</v>
      </c>
      <c r="I17" s="80">
        <v>3657</v>
      </c>
      <c r="J17" s="80"/>
      <c r="K17" s="80">
        <v>375</v>
      </c>
      <c r="L17" s="80"/>
      <c r="M17" s="80"/>
      <c r="N17" s="80"/>
      <c r="O17" s="80"/>
      <c r="P17" s="80"/>
      <c r="Q17" s="90">
        <f>+SUM(E17:P17)</f>
        <v>27679.55</v>
      </c>
      <c r="R17" s="311">
        <f>Q17/Q18</f>
        <v>0.36906066666666665</v>
      </c>
      <c r="S17" s="110" t="e">
        <v>#REF!</v>
      </c>
    </row>
    <row r="18" spans="1:19" ht="15.75" hidden="1" customHeight="1" outlineLevel="1" thickBot="1" x14ac:dyDescent="0.3">
      <c r="A18" s="217"/>
      <c r="B18" s="129"/>
      <c r="C18" s="225"/>
      <c r="D18" s="137" t="s">
        <v>1</v>
      </c>
      <c r="E18" s="88">
        <v>5000</v>
      </c>
      <c r="F18" s="88">
        <v>5500</v>
      </c>
      <c r="G18" s="88">
        <v>5000</v>
      </c>
      <c r="H18" s="88">
        <v>4000</v>
      </c>
      <c r="I18" s="88">
        <v>5500</v>
      </c>
      <c r="J18" s="88">
        <v>3000</v>
      </c>
      <c r="K18" s="88">
        <v>8000</v>
      </c>
      <c r="L18" s="88">
        <v>2000</v>
      </c>
      <c r="M18" s="88">
        <v>5000</v>
      </c>
      <c r="N18" s="88">
        <v>7000</v>
      </c>
      <c r="O18" s="88">
        <v>15000</v>
      </c>
      <c r="P18" s="88">
        <v>10000</v>
      </c>
      <c r="Q18" s="141">
        <f>SUM(E18:P18)</f>
        <v>75000</v>
      </c>
      <c r="R18" s="312"/>
      <c r="S18" s="109" t="e">
        <f>Q18/#REF!</f>
        <v>#REF!</v>
      </c>
    </row>
    <row r="19" spans="1:19" ht="15.75" hidden="1" customHeight="1" outlineLevel="1" x14ac:dyDescent="0.25">
      <c r="A19" s="216" t="s">
        <v>11</v>
      </c>
      <c r="B19" s="213" t="s">
        <v>12</v>
      </c>
      <c r="C19" s="224" t="s">
        <v>41</v>
      </c>
      <c r="D19" s="138" t="s">
        <v>14</v>
      </c>
      <c r="E19" s="78">
        <v>10921.75</v>
      </c>
      <c r="F19" s="78">
        <v>4290.05</v>
      </c>
      <c r="G19" s="79">
        <v>11387.15</v>
      </c>
      <c r="H19" s="260">
        <v>24688.9</v>
      </c>
      <c r="I19" s="80">
        <v>2981.8</v>
      </c>
      <c r="J19" s="80">
        <v>1304.83</v>
      </c>
      <c r="K19" s="80">
        <v>8721.7999999999993</v>
      </c>
      <c r="L19" s="80"/>
      <c r="M19" s="80"/>
      <c r="N19" s="80"/>
      <c r="O19" s="80"/>
      <c r="P19" s="80"/>
      <c r="Q19" s="90">
        <f>+SUM(E19:P19)</f>
        <v>64296.28</v>
      </c>
      <c r="R19" s="311">
        <f>Q19/Q20</f>
        <v>0.42721780730897008</v>
      </c>
      <c r="S19" s="110">
        <v>0</v>
      </c>
    </row>
    <row r="20" spans="1:19" ht="15.75" hidden="1" customHeight="1" outlineLevel="1" thickBot="1" x14ac:dyDescent="0.3">
      <c r="A20" s="217"/>
      <c r="B20" s="129"/>
      <c r="C20" s="225"/>
      <c r="D20" s="137" t="s">
        <v>1</v>
      </c>
      <c r="E20" s="88">
        <v>12500</v>
      </c>
      <c r="F20" s="88">
        <v>12500</v>
      </c>
      <c r="G20" s="88">
        <v>12500</v>
      </c>
      <c r="H20" s="88">
        <v>12500</v>
      </c>
      <c r="I20" s="88">
        <v>12500</v>
      </c>
      <c r="J20" s="88">
        <v>12500</v>
      </c>
      <c r="K20" s="88">
        <v>12500</v>
      </c>
      <c r="L20" s="88">
        <v>12500</v>
      </c>
      <c r="M20" s="88">
        <v>12500</v>
      </c>
      <c r="N20" s="88">
        <v>12500</v>
      </c>
      <c r="O20" s="88">
        <v>13000</v>
      </c>
      <c r="P20" s="88">
        <v>12500</v>
      </c>
      <c r="Q20" s="141">
        <f>SUM(E20:P20)</f>
        <v>150500</v>
      </c>
      <c r="R20" s="312"/>
      <c r="S20" s="109" t="e">
        <f>Q20/#REF!</f>
        <v>#REF!</v>
      </c>
    </row>
    <row r="21" spans="1:19" ht="15.75" hidden="1" customHeight="1" outlineLevel="1" x14ac:dyDescent="0.25">
      <c r="A21" s="216" t="s">
        <v>11</v>
      </c>
      <c r="B21" s="213" t="s">
        <v>12</v>
      </c>
      <c r="C21" s="224" t="s">
        <v>155</v>
      </c>
      <c r="D21" s="138" t="s">
        <v>14</v>
      </c>
      <c r="E21" s="78"/>
      <c r="F21" s="78"/>
      <c r="G21" s="79"/>
      <c r="H21" s="260"/>
      <c r="I21" s="80"/>
      <c r="J21" s="80"/>
      <c r="K21" s="80"/>
      <c r="L21" s="80"/>
      <c r="M21" s="80"/>
      <c r="N21" s="80"/>
      <c r="O21" s="80"/>
      <c r="P21" s="80"/>
      <c r="Q21" s="90">
        <f t="shared" ref="Q21" si="0">+SUM(E21:P21)</f>
        <v>0</v>
      </c>
      <c r="R21" s="301">
        <f>Q21/Q22</f>
        <v>0</v>
      </c>
      <c r="S21" s="110">
        <v>0</v>
      </c>
    </row>
    <row r="22" spans="1:19" ht="15.75" hidden="1" customHeight="1" outlineLevel="1" thickBot="1" x14ac:dyDescent="0.3">
      <c r="A22" s="217"/>
      <c r="B22" s="129"/>
      <c r="C22" s="225"/>
      <c r="D22" s="137" t="s">
        <v>1</v>
      </c>
      <c r="E22" s="140"/>
      <c r="F22" s="140"/>
      <c r="G22" s="140"/>
      <c r="H22" s="140"/>
      <c r="I22" s="140"/>
      <c r="J22" s="140"/>
      <c r="K22" s="140"/>
      <c r="L22" s="140">
        <v>35000</v>
      </c>
      <c r="M22" s="140">
        <v>15000</v>
      </c>
      <c r="N22" s="140"/>
      <c r="O22" s="140"/>
      <c r="P22" s="140"/>
      <c r="Q22" s="141">
        <f t="shared" ref="Q22" si="1">SUM(E22:P22)</f>
        <v>50000</v>
      </c>
      <c r="R22" s="302"/>
      <c r="S22" s="109" t="e">
        <f>Q22/#REF!</f>
        <v>#REF!</v>
      </c>
    </row>
    <row r="23" spans="1:19" ht="15.75" hidden="1" outlineLevel="1" x14ac:dyDescent="0.25">
      <c r="A23" s="216" t="s">
        <v>11</v>
      </c>
      <c r="B23" s="213" t="s">
        <v>12</v>
      </c>
      <c r="C23" s="224" t="s">
        <v>129</v>
      </c>
      <c r="D23" s="77" t="s">
        <v>14</v>
      </c>
      <c r="E23" s="78">
        <v>12661.63</v>
      </c>
      <c r="F23" s="78">
        <v>7797.22</v>
      </c>
      <c r="G23" s="79">
        <v>16019.05</v>
      </c>
      <c r="H23" s="260">
        <v>6941.28</v>
      </c>
      <c r="I23" s="80">
        <v>8709.1327999999994</v>
      </c>
      <c r="J23" s="80">
        <v>4054.35</v>
      </c>
      <c r="K23" s="80">
        <v>10397.200000000001</v>
      </c>
      <c r="L23" s="80"/>
      <c r="M23" s="122"/>
      <c r="N23" s="122"/>
      <c r="O23" s="122"/>
      <c r="P23" s="122"/>
      <c r="Q23" s="90">
        <f>+SUM(E23:P23)</f>
        <v>66579.862799999988</v>
      </c>
      <c r="R23" s="301">
        <f>Q23/Q24</f>
        <v>1.1096643799999999</v>
      </c>
      <c r="S23" s="110">
        <v>0</v>
      </c>
    </row>
    <row r="24" spans="1:19" ht="16.5" hidden="1" outlineLevel="1" thickBot="1" x14ac:dyDescent="0.3">
      <c r="A24" s="217"/>
      <c r="B24" s="129"/>
      <c r="C24" s="225"/>
      <c r="D24" s="81" t="s">
        <v>1</v>
      </c>
      <c r="E24" s="140">
        <v>5000</v>
      </c>
      <c r="F24" s="140">
        <v>5500</v>
      </c>
      <c r="G24" s="140">
        <v>5000</v>
      </c>
      <c r="H24" s="140">
        <v>3500</v>
      </c>
      <c r="I24" s="140">
        <v>4000</v>
      </c>
      <c r="J24" s="140">
        <v>3500</v>
      </c>
      <c r="K24" s="140">
        <v>5500</v>
      </c>
      <c r="L24" s="140">
        <v>4000</v>
      </c>
      <c r="M24" s="140">
        <v>7500</v>
      </c>
      <c r="N24" s="140">
        <v>5500</v>
      </c>
      <c r="O24" s="140">
        <v>5500</v>
      </c>
      <c r="P24" s="140">
        <v>5500</v>
      </c>
      <c r="Q24" s="141">
        <f>SUM(E24:P24)</f>
        <v>60000</v>
      </c>
      <c r="R24" s="302"/>
      <c r="S24" s="109">
        <f>Q24/$Q$273</f>
        <v>3.7496484704558947E-3</v>
      </c>
    </row>
    <row r="25" spans="1:19" ht="15.75" hidden="1" outlineLevel="1" x14ac:dyDescent="0.25">
      <c r="A25" s="216" t="s">
        <v>11</v>
      </c>
      <c r="B25" s="213" t="s">
        <v>12</v>
      </c>
      <c r="C25" s="224" t="s">
        <v>108</v>
      </c>
      <c r="D25" s="77" t="s">
        <v>14</v>
      </c>
      <c r="E25" s="78">
        <v>7674.8</v>
      </c>
      <c r="F25" s="78">
        <v>10950.26</v>
      </c>
      <c r="G25" s="79">
        <v>5299.2691999999997</v>
      </c>
      <c r="H25" s="260">
        <v>3850.5</v>
      </c>
      <c r="I25" s="80">
        <v>4922.0454</v>
      </c>
      <c r="J25" s="80">
        <v>3092.5</v>
      </c>
      <c r="K25" s="80">
        <v>5517</v>
      </c>
      <c r="L25" s="80"/>
      <c r="M25" s="122"/>
      <c r="N25" s="122"/>
      <c r="O25" s="122"/>
      <c r="P25" s="122"/>
      <c r="Q25" s="90">
        <f>+SUM(E25:P25)</f>
        <v>41306.374599999996</v>
      </c>
      <c r="R25" s="301">
        <f>Q25/Q26</f>
        <v>0.68843957666666655</v>
      </c>
      <c r="S25" s="110">
        <v>0</v>
      </c>
    </row>
    <row r="26" spans="1:19" ht="16.5" hidden="1" outlineLevel="1" thickBot="1" x14ac:dyDescent="0.3">
      <c r="A26" s="217"/>
      <c r="B26" s="129"/>
      <c r="C26" s="225"/>
      <c r="D26" s="81" t="s">
        <v>1</v>
      </c>
      <c r="E26" s="140">
        <v>5500</v>
      </c>
      <c r="F26" s="140">
        <v>5500</v>
      </c>
      <c r="G26" s="140">
        <v>4500</v>
      </c>
      <c r="H26" s="140">
        <v>5500</v>
      </c>
      <c r="I26" s="140">
        <v>5500</v>
      </c>
      <c r="J26" s="140">
        <v>3000</v>
      </c>
      <c r="K26" s="140">
        <v>3500</v>
      </c>
      <c r="L26" s="140">
        <v>5500</v>
      </c>
      <c r="M26" s="140">
        <v>5500</v>
      </c>
      <c r="N26" s="140">
        <v>5500</v>
      </c>
      <c r="O26" s="140">
        <v>5000</v>
      </c>
      <c r="P26" s="140">
        <v>5500</v>
      </c>
      <c r="Q26" s="141">
        <f>SUM(E26:P26)</f>
        <v>60000</v>
      </c>
      <c r="R26" s="302"/>
      <c r="S26" s="109">
        <f>Q26/$Q$273</f>
        <v>3.7496484704558947E-3</v>
      </c>
    </row>
    <row r="27" spans="1:19" ht="15.75" hidden="1" outlineLevel="1" x14ac:dyDescent="0.25">
      <c r="A27" s="216" t="s">
        <v>11</v>
      </c>
      <c r="B27" s="213" t="s">
        <v>12</v>
      </c>
      <c r="C27" s="224" t="s">
        <v>73</v>
      </c>
      <c r="D27" s="77" t="s">
        <v>14</v>
      </c>
      <c r="E27" s="78">
        <v>314</v>
      </c>
      <c r="F27" s="78"/>
      <c r="G27" s="79">
        <v>330</v>
      </c>
      <c r="H27" s="260">
        <v>490</v>
      </c>
      <c r="I27" s="80">
        <v>1230</v>
      </c>
      <c r="J27" s="80">
        <v>1190</v>
      </c>
      <c r="K27" s="80">
        <v>400</v>
      </c>
      <c r="L27" s="80"/>
      <c r="M27" s="80"/>
      <c r="N27" s="80"/>
      <c r="O27" s="80"/>
      <c r="P27" s="80"/>
      <c r="Q27" s="90">
        <f>+SUM(E27:P27)</f>
        <v>3954</v>
      </c>
      <c r="R27" s="301">
        <f>Q27/Q28</f>
        <v>7.9079999999999998E-2</v>
      </c>
      <c r="S27" s="110">
        <v>0</v>
      </c>
    </row>
    <row r="28" spans="1:19" ht="16.5" hidden="1" outlineLevel="1" thickBot="1" x14ac:dyDescent="0.3">
      <c r="A28" s="217"/>
      <c r="B28" s="129"/>
      <c r="C28" s="225"/>
      <c r="D28" s="81" t="s">
        <v>1</v>
      </c>
      <c r="E28" s="140">
        <v>6000</v>
      </c>
      <c r="F28" s="140">
        <v>6000</v>
      </c>
      <c r="G28" s="140">
        <v>6000</v>
      </c>
      <c r="H28" s="140">
        <v>3000</v>
      </c>
      <c r="I28" s="140">
        <v>3000</v>
      </c>
      <c r="J28" s="140">
        <v>3000</v>
      </c>
      <c r="K28" s="140">
        <v>4000</v>
      </c>
      <c r="L28" s="140">
        <v>3000</v>
      </c>
      <c r="M28" s="140">
        <v>3000</v>
      </c>
      <c r="N28" s="140">
        <v>3000</v>
      </c>
      <c r="O28" s="140">
        <v>5000</v>
      </c>
      <c r="P28" s="140">
        <v>5000</v>
      </c>
      <c r="Q28" s="141">
        <f>SUM(E28:P28)</f>
        <v>50000</v>
      </c>
      <c r="R28" s="302"/>
      <c r="S28" s="109">
        <f>Q28/$Q$273</f>
        <v>3.1247070587132456E-3</v>
      </c>
    </row>
    <row r="29" spans="1:19" ht="15.75" hidden="1" outlineLevel="1" x14ac:dyDescent="0.25">
      <c r="A29" s="216" t="s">
        <v>11</v>
      </c>
      <c r="B29" s="213" t="s">
        <v>12</v>
      </c>
      <c r="C29" s="224" t="s">
        <v>19</v>
      </c>
      <c r="D29" s="77" t="s">
        <v>14</v>
      </c>
      <c r="E29" s="78">
        <v>6185.5</v>
      </c>
      <c r="F29" s="78">
        <v>6568.12</v>
      </c>
      <c r="G29" s="79">
        <v>1233</v>
      </c>
      <c r="H29" s="260">
        <v>10321.499900000001</v>
      </c>
      <c r="I29" s="80">
        <v>883.5</v>
      </c>
      <c r="J29" s="80">
        <v>21941.95</v>
      </c>
      <c r="K29" s="80">
        <v>3104</v>
      </c>
      <c r="L29" s="80"/>
      <c r="M29" s="122"/>
      <c r="N29" s="122"/>
      <c r="O29" s="122"/>
      <c r="P29" s="122"/>
      <c r="Q29" s="90">
        <f>+SUM(E29:P29)</f>
        <v>50237.569900000002</v>
      </c>
      <c r="R29" s="301">
        <f>Q29/Q30</f>
        <v>0.71767957000000004</v>
      </c>
      <c r="S29" s="110">
        <v>0</v>
      </c>
    </row>
    <row r="30" spans="1:19" ht="16.5" hidden="1" outlineLevel="1" thickBot="1" x14ac:dyDescent="0.3">
      <c r="A30" s="217"/>
      <c r="B30" s="129"/>
      <c r="C30" s="225"/>
      <c r="D30" s="81" t="s">
        <v>1</v>
      </c>
      <c r="E30" s="140">
        <v>4000</v>
      </c>
      <c r="F30" s="140">
        <v>4000</v>
      </c>
      <c r="G30" s="140">
        <v>4500</v>
      </c>
      <c r="H30" s="140">
        <v>5500</v>
      </c>
      <c r="I30" s="140">
        <v>15000</v>
      </c>
      <c r="J30" s="140">
        <v>4500</v>
      </c>
      <c r="K30" s="140">
        <v>2500</v>
      </c>
      <c r="L30" s="140">
        <v>4000</v>
      </c>
      <c r="M30" s="140">
        <v>15000</v>
      </c>
      <c r="N30" s="140">
        <v>5500</v>
      </c>
      <c r="O30" s="140">
        <v>2500</v>
      </c>
      <c r="P30" s="140">
        <v>3000</v>
      </c>
      <c r="Q30" s="141">
        <f>SUM(E30:P30)</f>
        <v>70000</v>
      </c>
      <c r="R30" s="302"/>
      <c r="S30" s="109">
        <f>Q30/$Q$273</f>
        <v>4.3745898821985442E-3</v>
      </c>
    </row>
    <row r="31" spans="1:19" ht="15.75" hidden="1" outlineLevel="1" x14ac:dyDescent="0.25">
      <c r="A31" s="216" t="s">
        <v>11</v>
      </c>
      <c r="B31" s="213" t="s">
        <v>12</v>
      </c>
      <c r="C31" s="224" t="s">
        <v>90</v>
      </c>
      <c r="D31" s="77" t="s">
        <v>14</v>
      </c>
      <c r="E31" s="78"/>
      <c r="F31" s="78">
        <v>242.5</v>
      </c>
      <c r="G31" s="79"/>
      <c r="H31" s="260"/>
      <c r="I31" s="80"/>
      <c r="J31" s="80"/>
      <c r="K31" s="80"/>
      <c r="L31" s="80"/>
      <c r="M31" s="122"/>
      <c r="N31" s="122"/>
      <c r="O31" s="122"/>
      <c r="P31" s="122"/>
      <c r="Q31" s="90">
        <f>+SUM(E31:P31)</f>
        <v>242.5</v>
      </c>
      <c r="R31" s="301">
        <f>Q31/Q32</f>
        <v>8.0833333333333332E-4</v>
      </c>
      <c r="S31" s="110">
        <v>0</v>
      </c>
    </row>
    <row r="32" spans="1:19" ht="16.5" hidden="1" outlineLevel="1" thickBot="1" x14ac:dyDescent="0.3">
      <c r="A32" s="217"/>
      <c r="B32" s="129"/>
      <c r="C32" s="225"/>
      <c r="D32" s="81" t="s">
        <v>1</v>
      </c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>
        <v>300000</v>
      </c>
      <c r="P32" s="140"/>
      <c r="Q32" s="141">
        <f>SUM(E32:P32)</f>
        <v>300000</v>
      </c>
      <c r="R32" s="302"/>
      <c r="S32" s="109">
        <f>Q32/$Q$273</f>
        <v>1.8748242352279475E-2</v>
      </c>
    </row>
    <row r="33" spans="1:23" ht="15.75" hidden="1" outlineLevel="1" x14ac:dyDescent="0.25">
      <c r="A33" s="216" t="s">
        <v>11</v>
      </c>
      <c r="B33" s="213" t="s">
        <v>12</v>
      </c>
      <c r="C33" s="224" t="s">
        <v>20</v>
      </c>
      <c r="D33" s="77" t="s">
        <v>14</v>
      </c>
      <c r="E33" s="78">
        <v>6727</v>
      </c>
      <c r="F33" s="78"/>
      <c r="G33" s="79">
        <v>1376</v>
      </c>
      <c r="H33" s="260">
        <v>10620</v>
      </c>
      <c r="I33" s="80"/>
      <c r="J33" s="80">
        <v>664</v>
      </c>
      <c r="K33" s="80">
        <v>4390</v>
      </c>
      <c r="L33" s="80"/>
      <c r="M33" s="122"/>
      <c r="N33" s="122"/>
      <c r="O33" s="122"/>
      <c r="P33" s="122"/>
      <c r="Q33" s="90">
        <f>+SUM(E33:P33)</f>
        <v>23777</v>
      </c>
      <c r="R33" s="301">
        <f>Q33/Q34</f>
        <v>0.21615454545454546</v>
      </c>
      <c r="S33" s="110">
        <v>0</v>
      </c>
    </row>
    <row r="34" spans="1:23" ht="16.5" hidden="1" outlineLevel="1" thickBot="1" x14ac:dyDescent="0.3">
      <c r="A34" s="217"/>
      <c r="B34" s="129"/>
      <c r="C34" s="225"/>
      <c r="D34" s="81" t="s">
        <v>1</v>
      </c>
      <c r="E34" s="140">
        <v>25000</v>
      </c>
      <c r="F34" s="140">
        <v>25000</v>
      </c>
      <c r="G34" s="140">
        <v>20000</v>
      </c>
      <c r="H34" s="140">
        <v>10000</v>
      </c>
      <c r="I34" s="140"/>
      <c r="J34" s="140"/>
      <c r="K34" s="140">
        <v>20000</v>
      </c>
      <c r="L34" s="140"/>
      <c r="M34" s="140"/>
      <c r="N34" s="140"/>
      <c r="O34" s="140"/>
      <c r="P34" s="140">
        <v>10000</v>
      </c>
      <c r="Q34" s="141">
        <f>SUM(E34:P34)</f>
        <v>110000</v>
      </c>
      <c r="R34" s="302"/>
      <c r="S34" s="109">
        <f>Q34/$Q$273</f>
        <v>6.8743555291691403E-3</v>
      </c>
    </row>
    <row r="35" spans="1:23" ht="15.75" hidden="1" outlineLevel="1" x14ac:dyDescent="0.25">
      <c r="A35" s="216" t="s">
        <v>11</v>
      </c>
      <c r="B35" s="213" t="s">
        <v>12</v>
      </c>
      <c r="C35" s="224" t="s">
        <v>130</v>
      </c>
      <c r="D35" s="77" t="s">
        <v>14</v>
      </c>
      <c r="E35" s="78">
        <v>13608</v>
      </c>
      <c r="F35" s="78">
        <v>8708.08</v>
      </c>
      <c r="G35" s="79">
        <v>40710.54</v>
      </c>
      <c r="H35" s="260">
        <v>11881.35</v>
      </c>
      <c r="I35" s="80">
        <v>13751.908899999999</v>
      </c>
      <c r="J35" s="80">
        <v>5429.09</v>
      </c>
      <c r="K35" s="80">
        <v>7206</v>
      </c>
      <c r="L35" s="80"/>
      <c r="M35" s="122"/>
      <c r="N35" s="122"/>
      <c r="O35" s="122"/>
      <c r="P35" s="122"/>
      <c r="Q35" s="90">
        <f>+SUM(E35:P35)</f>
        <v>101294.96889999999</v>
      </c>
      <c r="R35" s="301">
        <f>Q35/Q36</f>
        <v>0.33764989633333331</v>
      </c>
      <c r="S35" s="110">
        <v>0</v>
      </c>
    </row>
    <row r="36" spans="1:23" ht="16.5" hidden="1" outlineLevel="1" thickBot="1" x14ac:dyDescent="0.3">
      <c r="A36" s="217"/>
      <c r="B36" s="129"/>
      <c r="C36" s="225"/>
      <c r="D36" s="81" t="s">
        <v>1</v>
      </c>
      <c r="E36" s="140">
        <v>17000</v>
      </c>
      <c r="F36" s="140">
        <v>17000</v>
      </c>
      <c r="G36" s="140">
        <v>26600</v>
      </c>
      <c r="H36" s="140">
        <v>26600</v>
      </c>
      <c r="I36" s="140">
        <v>26600</v>
      </c>
      <c r="J36" s="140">
        <v>26600</v>
      </c>
      <c r="K36" s="140">
        <v>26600</v>
      </c>
      <c r="L36" s="140">
        <v>26600</v>
      </c>
      <c r="M36" s="140">
        <v>26600</v>
      </c>
      <c r="N36" s="140">
        <v>26600</v>
      </c>
      <c r="O36" s="140">
        <v>26600</v>
      </c>
      <c r="P36" s="140">
        <v>26600</v>
      </c>
      <c r="Q36" s="141">
        <f>SUM(E36:P36)</f>
        <v>300000</v>
      </c>
      <c r="R36" s="302"/>
      <c r="S36" s="109">
        <f>Q36/$Q$273</f>
        <v>1.8748242352279475E-2</v>
      </c>
    </row>
    <row r="37" spans="1:23" ht="15.75" hidden="1" outlineLevel="1" x14ac:dyDescent="0.25">
      <c r="A37" s="216" t="s">
        <v>11</v>
      </c>
      <c r="B37" s="213" t="s">
        <v>12</v>
      </c>
      <c r="C37" s="224" t="s">
        <v>160</v>
      </c>
      <c r="D37" s="77" t="s">
        <v>14</v>
      </c>
      <c r="E37" s="78">
        <v>8256.5400000000009</v>
      </c>
      <c r="F37" s="78">
        <v>9453.9</v>
      </c>
      <c r="G37" s="79">
        <v>7183</v>
      </c>
      <c r="H37" s="260">
        <v>11499.56</v>
      </c>
      <c r="I37" s="80">
        <v>8471.2744000000002</v>
      </c>
      <c r="J37" s="80">
        <v>10013.42</v>
      </c>
      <c r="K37" s="80">
        <v>7217.45</v>
      </c>
      <c r="L37" s="80"/>
      <c r="M37" s="122"/>
      <c r="N37" s="122"/>
      <c r="O37" s="122"/>
      <c r="P37" s="122"/>
      <c r="Q37" s="90">
        <f>+SUM(E37:P37)</f>
        <v>62095.144399999997</v>
      </c>
      <c r="R37" s="301">
        <f>Q37/Q38</f>
        <v>0.62095144400000002</v>
      </c>
      <c r="S37" s="110">
        <v>0</v>
      </c>
    </row>
    <row r="38" spans="1:23" ht="16.5" hidden="1" outlineLevel="1" thickBot="1" x14ac:dyDescent="0.3">
      <c r="A38" s="217"/>
      <c r="B38" s="129"/>
      <c r="C38" s="225"/>
      <c r="D38" s="81" t="s">
        <v>1</v>
      </c>
      <c r="E38" s="140">
        <v>8500</v>
      </c>
      <c r="F38" s="140">
        <v>8500</v>
      </c>
      <c r="G38" s="140">
        <v>8500</v>
      </c>
      <c r="H38" s="140">
        <v>8500</v>
      </c>
      <c r="I38" s="140">
        <v>8500</v>
      </c>
      <c r="J38" s="140">
        <v>8500</v>
      </c>
      <c r="K38" s="140">
        <v>8000</v>
      </c>
      <c r="L38" s="140">
        <v>8000</v>
      </c>
      <c r="M38" s="140">
        <v>8500</v>
      </c>
      <c r="N38" s="140">
        <v>8500</v>
      </c>
      <c r="O38" s="140">
        <v>8000</v>
      </c>
      <c r="P38" s="140">
        <v>8000</v>
      </c>
      <c r="Q38" s="141">
        <f>SUM(E38:P38)</f>
        <v>100000</v>
      </c>
      <c r="R38" s="302"/>
      <c r="S38" s="109">
        <f>Q38/$Q$273</f>
        <v>6.2494141174264913E-3</v>
      </c>
    </row>
    <row r="39" spans="1:23" ht="15.75" hidden="1" outlineLevel="1" x14ac:dyDescent="0.25">
      <c r="A39" s="216" t="s">
        <v>11</v>
      </c>
      <c r="B39" s="213" t="s">
        <v>12</v>
      </c>
      <c r="C39" s="224" t="s">
        <v>74</v>
      </c>
      <c r="D39" s="77" t="s">
        <v>14</v>
      </c>
      <c r="E39" s="78">
        <v>206250</v>
      </c>
      <c r="F39" s="78">
        <v>165000</v>
      </c>
      <c r="G39" s="79"/>
      <c r="H39" s="260"/>
      <c r="I39" s="80"/>
      <c r="J39" s="80"/>
      <c r="K39" s="80"/>
      <c r="L39" s="80"/>
      <c r="M39" s="78"/>
      <c r="N39" s="78"/>
      <c r="O39" s="79"/>
      <c r="P39" s="80"/>
      <c r="Q39" s="90">
        <f>+SUM(E39:P39)</f>
        <v>371250</v>
      </c>
      <c r="R39" s="301">
        <f>Q39/Q40</f>
        <v>0.80706521739130432</v>
      </c>
      <c r="S39" s="110">
        <v>0</v>
      </c>
    </row>
    <row r="40" spans="1:23" ht="16.5" hidden="1" outlineLevel="1" thickBot="1" x14ac:dyDescent="0.3">
      <c r="A40" s="217"/>
      <c r="B40" s="129"/>
      <c r="C40" s="225"/>
      <c r="D40" s="81" t="s">
        <v>1</v>
      </c>
      <c r="E40" s="140">
        <v>210000</v>
      </c>
      <c r="F40" s="140"/>
      <c r="G40" s="140">
        <v>165000</v>
      </c>
      <c r="H40" s="140"/>
      <c r="I40" s="140"/>
      <c r="J40" s="140"/>
      <c r="K40" s="140"/>
      <c r="L40" s="140"/>
      <c r="M40" s="140"/>
      <c r="N40" s="140">
        <v>85000</v>
      </c>
      <c r="O40" s="140"/>
      <c r="P40" s="140"/>
      <c r="Q40" s="141">
        <f>SUM(E40:P40)</f>
        <v>460000</v>
      </c>
      <c r="R40" s="302"/>
      <c r="S40" s="109">
        <f>Q40/$Q$273</f>
        <v>2.8747304940161859E-2</v>
      </c>
    </row>
    <row r="41" spans="1:23" ht="15.75" hidden="1" outlineLevel="1" x14ac:dyDescent="0.25">
      <c r="A41" s="216" t="s">
        <v>11</v>
      </c>
      <c r="B41" s="213" t="s">
        <v>12</v>
      </c>
      <c r="C41" s="218" t="s">
        <v>22</v>
      </c>
      <c r="D41" s="77" t="s">
        <v>14</v>
      </c>
      <c r="E41" s="78">
        <v>5868</v>
      </c>
      <c r="F41" s="78">
        <v>26762</v>
      </c>
      <c r="G41" s="79">
        <v>12594</v>
      </c>
      <c r="H41" s="260">
        <v>3505</v>
      </c>
      <c r="I41" s="80">
        <v>32239</v>
      </c>
      <c r="J41" s="80">
        <v>5040</v>
      </c>
      <c r="K41" s="80">
        <v>9530</v>
      </c>
      <c r="L41" s="80"/>
      <c r="M41" s="80"/>
      <c r="N41" s="120"/>
      <c r="O41" s="120"/>
      <c r="P41" s="120"/>
      <c r="Q41" s="90">
        <f>+SUM(E41:P41)</f>
        <v>95538</v>
      </c>
      <c r="R41" s="301">
        <f>Q41/Q42</f>
        <v>0.68241428571428575</v>
      </c>
      <c r="S41" s="110">
        <v>0</v>
      </c>
      <c r="V41"/>
      <c r="W41"/>
    </row>
    <row r="42" spans="1:23" ht="16.5" hidden="1" outlineLevel="1" thickBot="1" x14ac:dyDescent="0.3">
      <c r="A42" s="217"/>
      <c r="B42" s="129"/>
      <c r="C42" s="219"/>
      <c r="D42" s="81" t="s">
        <v>1</v>
      </c>
      <c r="E42" s="143">
        <v>10000</v>
      </c>
      <c r="F42" s="143">
        <v>10000</v>
      </c>
      <c r="G42" s="143">
        <v>6000</v>
      </c>
      <c r="H42" s="143">
        <v>10000</v>
      </c>
      <c r="I42" s="143">
        <v>20000</v>
      </c>
      <c r="J42" s="143">
        <v>40000</v>
      </c>
      <c r="K42" s="143">
        <v>5000</v>
      </c>
      <c r="L42" s="143">
        <v>6000</v>
      </c>
      <c r="M42" s="143">
        <v>8000</v>
      </c>
      <c r="N42" s="143">
        <v>8000</v>
      </c>
      <c r="O42" s="143">
        <v>7000</v>
      </c>
      <c r="P42" s="143">
        <v>10000</v>
      </c>
      <c r="Q42" s="141">
        <f>SUM(E42:P42)</f>
        <v>140000</v>
      </c>
      <c r="R42" s="302"/>
      <c r="S42" s="109">
        <f>Q42/$Q$273</f>
        <v>8.7491797643970883E-3</v>
      </c>
      <c r="V42"/>
      <c r="W42"/>
    </row>
    <row r="43" spans="1:23" ht="15.75" hidden="1" outlineLevel="1" x14ac:dyDescent="0.25">
      <c r="A43" s="216" t="s">
        <v>11</v>
      </c>
      <c r="B43" s="213" t="s">
        <v>23</v>
      </c>
      <c r="C43" s="214" t="s">
        <v>24</v>
      </c>
      <c r="D43" s="77" t="s">
        <v>14</v>
      </c>
      <c r="E43" s="80">
        <v>55460.25</v>
      </c>
      <c r="F43" s="78">
        <v>53687.9</v>
      </c>
      <c r="G43" s="79">
        <v>40257.93</v>
      </c>
      <c r="H43" s="260">
        <v>36993.81</v>
      </c>
      <c r="I43" s="80">
        <v>43978.04</v>
      </c>
      <c r="J43" s="80">
        <v>13447.23</v>
      </c>
      <c r="K43" s="80">
        <v>35281.17</v>
      </c>
      <c r="L43" s="80"/>
      <c r="M43" s="122"/>
      <c r="N43" s="122"/>
      <c r="O43" s="122"/>
      <c r="P43" s="122"/>
      <c r="Q43" s="90">
        <f>+SUM(E43:P43)</f>
        <v>279106.33</v>
      </c>
      <c r="R43" s="303">
        <f>Q43/Q45</f>
        <v>0.30671025274725278</v>
      </c>
      <c r="S43" s="110">
        <v>0</v>
      </c>
      <c r="V43"/>
      <c r="W43"/>
    </row>
    <row r="44" spans="1:23" ht="15.75" hidden="1" outlineLevel="1" x14ac:dyDescent="0.25">
      <c r="A44" s="217"/>
      <c r="B44" s="129"/>
      <c r="C44" s="215"/>
      <c r="D44" s="84" t="s">
        <v>25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91">
        <f>SUM(E44:P44)</f>
        <v>0</v>
      </c>
      <c r="R44" s="304"/>
      <c r="S44" s="111">
        <v>0</v>
      </c>
      <c r="U44" s="130"/>
      <c r="V44"/>
      <c r="W44"/>
    </row>
    <row r="45" spans="1:23" ht="16.5" hidden="1" outlineLevel="1" thickBot="1" x14ac:dyDescent="0.3">
      <c r="A45" s="217"/>
      <c r="B45" s="129"/>
      <c r="C45" s="215"/>
      <c r="D45" s="81" t="s">
        <v>1</v>
      </c>
      <c r="E45" s="140">
        <v>85000</v>
      </c>
      <c r="F45" s="140">
        <v>60000</v>
      </c>
      <c r="G45" s="140">
        <v>80000</v>
      </c>
      <c r="H45" s="140">
        <v>90000</v>
      </c>
      <c r="I45" s="140">
        <v>100000</v>
      </c>
      <c r="J45" s="140">
        <v>60000</v>
      </c>
      <c r="K45" s="140">
        <v>60000</v>
      </c>
      <c r="L45" s="140">
        <v>60000</v>
      </c>
      <c r="M45" s="140">
        <v>60000</v>
      </c>
      <c r="N45" s="140">
        <v>85000</v>
      </c>
      <c r="O45" s="140">
        <v>85000</v>
      </c>
      <c r="P45" s="140">
        <v>85000</v>
      </c>
      <c r="Q45" s="142">
        <f>SUM(E45:P45)</f>
        <v>910000</v>
      </c>
      <c r="R45" s="304"/>
      <c r="S45" s="109">
        <f>Q45/$Q$273</f>
        <v>5.6869668468581068E-2</v>
      </c>
      <c r="U45" s="130"/>
    </row>
    <row r="46" spans="1:23" ht="17.25" collapsed="1" thickTop="1" thickBot="1" x14ac:dyDescent="0.25">
      <c r="A46" s="226" t="s">
        <v>11</v>
      </c>
      <c r="B46" s="228" t="s">
        <v>0</v>
      </c>
      <c r="C46" s="226" t="s">
        <v>0</v>
      </c>
      <c r="D46" s="58" t="s">
        <v>14</v>
      </c>
      <c r="E46" s="83">
        <f>SUM(E44+E43+E41+E39+E37+E35+E33+E31+E29+E27+E25+E23+E21+E19+E17+E15+E13+E11+E9+E7+E5+E3)</f>
        <v>540323.92000000004</v>
      </c>
      <c r="F46" s="83">
        <f t="shared" ref="F46:P46" si="2">SUM(F44+F43+F41+F39+F37+F35+F33+F31+F29+F27+F25+F23+F21+F19+F17+F15+F13+F11+F9+F7+F5+F3)</f>
        <v>518505.02779999998</v>
      </c>
      <c r="G46" s="83">
        <f t="shared" si="2"/>
        <v>401195.18750000006</v>
      </c>
      <c r="H46" s="83">
        <f t="shared" si="2"/>
        <v>333716.33750000002</v>
      </c>
      <c r="I46" s="83">
        <f t="shared" si="2"/>
        <v>269448.95690000005</v>
      </c>
      <c r="J46" s="83">
        <f t="shared" si="2"/>
        <v>152095.42000000001</v>
      </c>
      <c r="K46" s="83">
        <f t="shared" si="2"/>
        <v>189188.19999999998</v>
      </c>
      <c r="L46" s="83">
        <f t="shared" si="2"/>
        <v>0</v>
      </c>
      <c r="M46" s="83">
        <f t="shared" si="2"/>
        <v>0</v>
      </c>
      <c r="N46" s="83">
        <f t="shared" si="2"/>
        <v>0</v>
      </c>
      <c r="O46" s="83">
        <f t="shared" si="2"/>
        <v>0</v>
      </c>
      <c r="P46" s="83">
        <f t="shared" si="2"/>
        <v>0</v>
      </c>
      <c r="Q46" s="83">
        <f>SUM(Q44+Q43+Q41+Q39+Q37+Q35+Q33+Q31+Q29+Q27+Q25+Q23+Q21+Q19+Q17+Q15+Q13+Q11+Q9+Q7+Q5+Q3)</f>
        <v>2404473.0497000003</v>
      </c>
      <c r="R46" s="318">
        <f>Q46/Q47</f>
        <v>0.51427078380921831</v>
      </c>
      <c r="S46" s="110">
        <v>0</v>
      </c>
      <c r="T46" s="130"/>
    </row>
    <row r="47" spans="1:23" ht="17.25" thickTop="1" thickBot="1" x14ac:dyDescent="0.3">
      <c r="A47" s="227"/>
      <c r="B47" s="229"/>
      <c r="C47" s="227"/>
      <c r="D47" s="59" t="s">
        <v>143</v>
      </c>
      <c r="E47" s="12">
        <f>SUM(E45+E42+E40+E38+E36+E34+E32+E30+E28+E26+E24+E22+E20+E18+E16+E14+E12+E10+E8+E6+E4)</f>
        <v>541000</v>
      </c>
      <c r="F47" s="12">
        <f t="shared" ref="F47:P47" si="3">SUM(F45+F42+F40+F38+F36+F34+F32+F30+F28+F26+F24+F22+F20+F18+F16+F14+F12+F10+F8+F6+F4)</f>
        <v>308500</v>
      </c>
      <c r="G47" s="12">
        <f t="shared" si="3"/>
        <v>688100</v>
      </c>
      <c r="H47" s="12">
        <f t="shared" si="3"/>
        <v>298600</v>
      </c>
      <c r="I47" s="12">
        <f t="shared" si="3"/>
        <v>348100</v>
      </c>
      <c r="J47" s="12">
        <f t="shared" si="3"/>
        <v>299100</v>
      </c>
      <c r="K47" s="12">
        <f t="shared" si="3"/>
        <v>271100</v>
      </c>
      <c r="L47" s="12">
        <f t="shared" si="3"/>
        <v>287100</v>
      </c>
      <c r="M47" s="12">
        <f t="shared" si="3"/>
        <v>306100</v>
      </c>
      <c r="N47" s="12">
        <f t="shared" si="3"/>
        <v>387600</v>
      </c>
      <c r="O47" s="12">
        <f t="shared" si="3"/>
        <v>616100</v>
      </c>
      <c r="P47" s="12">
        <f t="shared" si="3"/>
        <v>324100</v>
      </c>
      <c r="Q47" s="12">
        <f>SUM(Q45+Q42+Q40+Q38+Q36+Q34+Q32+Q30+Q28+Q26+Q24+Q22+Q20+Q18+Q16+Q14+Q12+Q10+Q8+Q6+Q4)</f>
        <v>4675500</v>
      </c>
      <c r="R47" s="318"/>
      <c r="S47" s="109">
        <f>Q47/$Q$273</f>
        <v>0.2921913570602756</v>
      </c>
    </row>
    <row r="48" spans="1:23" ht="16.5" customHeight="1" thickTop="1" thickBot="1" x14ac:dyDescent="0.3">
      <c r="A48" s="227"/>
      <c r="B48" s="229"/>
      <c r="C48" s="227"/>
      <c r="D48" s="60" t="s">
        <v>2</v>
      </c>
      <c r="E48" s="14">
        <f t="shared" ref="E48:K48" si="4">E46/E47</f>
        <v>0.99875031423290206</v>
      </c>
      <c r="F48" s="14">
        <v>1.7552384593237362</v>
      </c>
      <c r="G48" s="14">
        <f t="shared" si="4"/>
        <v>0.58304779465194023</v>
      </c>
      <c r="H48" s="14">
        <f t="shared" si="4"/>
        <v>1.1176032736101809</v>
      </c>
      <c r="I48" s="14">
        <f t="shared" si="4"/>
        <v>0.77405618184429781</v>
      </c>
      <c r="J48" s="14">
        <f t="shared" si="4"/>
        <v>0.50851026412571054</v>
      </c>
      <c r="K48" s="14">
        <f t="shared" si="4"/>
        <v>0.69785392843969007</v>
      </c>
      <c r="L48" s="14">
        <v>0</v>
      </c>
      <c r="M48" s="14">
        <v>0</v>
      </c>
      <c r="N48" s="14">
        <v>0</v>
      </c>
      <c r="O48" s="14">
        <v>0</v>
      </c>
      <c r="P48" s="38">
        <v>0</v>
      </c>
      <c r="Q48" s="43">
        <f>Q46/Q47</f>
        <v>0.51427078380921831</v>
      </c>
      <c r="R48" s="318"/>
      <c r="S48" s="127"/>
    </row>
    <row r="49" spans="1:19" ht="17.25" thickTop="1" thickBot="1" x14ac:dyDescent="0.3">
      <c r="A49" s="227"/>
      <c r="B49" s="229"/>
      <c r="C49" s="227"/>
      <c r="D49" s="61" t="s">
        <v>3</v>
      </c>
      <c r="E49" s="15">
        <f t="shared" ref="E49:P49" si="5">E46-E47</f>
        <v>-676.07999999995809</v>
      </c>
      <c r="F49" s="15">
        <v>225589.72779999999</v>
      </c>
      <c r="G49" s="15">
        <f t="shared" si="5"/>
        <v>-286904.81249999994</v>
      </c>
      <c r="H49" s="15">
        <f t="shared" si="5"/>
        <v>35116.337500000023</v>
      </c>
      <c r="I49" s="15">
        <f t="shared" si="5"/>
        <v>-78651.043099999952</v>
      </c>
      <c r="J49" s="15">
        <f t="shared" si="5"/>
        <v>-147004.57999999999</v>
      </c>
      <c r="K49" s="15">
        <f t="shared" si="5"/>
        <v>-81911.800000000017</v>
      </c>
      <c r="L49" s="15">
        <f t="shared" si="5"/>
        <v>-287100</v>
      </c>
      <c r="M49" s="15">
        <f t="shared" si="5"/>
        <v>-306100</v>
      </c>
      <c r="N49" s="15">
        <f t="shared" si="5"/>
        <v>-387600</v>
      </c>
      <c r="O49" s="15">
        <f t="shared" si="5"/>
        <v>-616100</v>
      </c>
      <c r="P49" s="15">
        <f t="shared" si="5"/>
        <v>-324100</v>
      </c>
      <c r="Q49" s="44">
        <f>Q46-Q47</f>
        <v>-2271026.9502999997</v>
      </c>
      <c r="R49" s="318"/>
      <c r="S49" s="128"/>
    </row>
    <row r="50" spans="1:19" ht="17.25" thickTop="1" thickBot="1" x14ac:dyDescent="0.3">
      <c r="A50" s="227"/>
      <c r="B50" s="229"/>
      <c r="C50" s="227"/>
      <c r="D50" s="62" t="s">
        <v>4</v>
      </c>
      <c r="E50" s="16">
        <f t="shared" ref="E50:K50" si="6">E49/E46</f>
        <v>-1.2512494357087838E-3</v>
      </c>
      <c r="F50" s="16">
        <v>0.43027684091124396</v>
      </c>
      <c r="G50" s="16">
        <f t="shared" si="6"/>
        <v>-0.71512525932280757</v>
      </c>
      <c r="H50" s="16">
        <f t="shared" si="6"/>
        <v>0.10522810409304585</v>
      </c>
      <c r="I50" s="16">
        <f t="shared" si="6"/>
        <v>-0.29189589005976196</v>
      </c>
      <c r="J50" s="16">
        <f t="shared" si="6"/>
        <v>-0.96652864366330016</v>
      </c>
      <c r="K50" s="16">
        <f t="shared" si="6"/>
        <v>-0.43296463521509282</v>
      </c>
      <c r="L50" s="16" t="e">
        <v>#DIV/0!</v>
      </c>
      <c r="M50" s="16" t="e">
        <v>#DIV/0!</v>
      </c>
      <c r="N50" s="16" t="e">
        <v>#DIV/0!</v>
      </c>
      <c r="O50" s="16" t="e">
        <v>#DIV/0!</v>
      </c>
      <c r="P50" s="39" t="e">
        <v>#DIV/0!</v>
      </c>
      <c r="Q50" s="45">
        <f>Q49/Q46</f>
        <v>-0.94450089618735777</v>
      </c>
      <c r="R50" s="17"/>
      <c r="S50" s="105"/>
    </row>
    <row r="51" spans="1:19" ht="16.5" thickTop="1" thickBot="1" x14ac:dyDescent="0.25">
      <c r="A51" s="6"/>
      <c r="B51" s="6"/>
      <c r="C51" s="75"/>
      <c r="D51" s="63" t="s">
        <v>26</v>
      </c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7"/>
      <c r="Q51" s="63"/>
      <c r="R51" s="86"/>
      <c r="S51" s="106"/>
    </row>
    <row r="52" spans="1:19" ht="15.75" hidden="1" outlineLevel="1" x14ac:dyDescent="0.25">
      <c r="A52" s="216" t="s">
        <v>144</v>
      </c>
      <c r="B52" s="213" t="s">
        <v>12</v>
      </c>
      <c r="C52" s="224" t="s">
        <v>13</v>
      </c>
      <c r="D52" s="77" t="s">
        <v>14</v>
      </c>
      <c r="E52" s="78">
        <v>770</v>
      </c>
      <c r="F52" s="78">
        <v>7770.75</v>
      </c>
      <c r="G52" s="79">
        <v>5529.97</v>
      </c>
      <c r="H52" s="260">
        <v>4451.3999999999996</v>
      </c>
      <c r="I52" s="80">
        <v>2591.37</v>
      </c>
      <c r="J52" s="80">
        <v>1897.19</v>
      </c>
      <c r="K52" s="80">
        <v>1959.28</v>
      </c>
      <c r="L52" s="80"/>
      <c r="M52" s="122"/>
      <c r="N52" s="122"/>
      <c r="O52" s="122"/>
      <c r="P52" s="122"/>
      <c r="Q52" s="90">
        <f>+SUM(E52:P52)</f>
        <v>24969.96</v>
      </c>
      <c r="R52" s="301">
        <f>Q52/Q53</f>
        <v>0.4539992727272727</v>
      </c>
      <c r="S52" s="110">
        <v>0</v>
      </c>
    </row>
    <row r="53" spans="1:19" ht="16.5" hidden="1" outlineLevel="1" thickBot="1" x14ac:dyDescent="0.3">
      <c r="A53" s="217"/>
      <c r="B53" s="129"/>
      <c r="C53" s="225"/>
      <c r="D53" s="81" t="s">
        <v>1</v>
      </c>
      <c r="E53" s="82">
        <v>3000</v>
      </c>
      <c r="F53" s="82">
        <v>4200</v>
      </c>
      <c r="G53" s="82">
        <v>1600</v>
      </c>
      <c r="H53" s="82">
        <v>7500</v>
      </c>
      <c r="I53" s="82">
        <v>5450</v>
      </c>
      <c r="J53" s="82">
        <v>1500</v>
      </c>
      <c r="K53" s="82">
        <v>4000</v>
      </c>
      <c r="L53" s="82">
        <v>4000</v>
      </c>
      <c r="M53" s="82">
        <v>7750</v>
      </c>
      <c r="N53" s="82">
        <v>6700</v>
      </c>
      <c r="O53" s="82">
        <v>4650</v>
      </c>
      <c r="P53" s="82">
        <v>4650</v>
      </c>
      <c r="Q53" s="141">
        <f>SUM(E53:P53)</f>
        <v>55000</v>
      </c>
      <c r="R53" s="302"/>
      <c r="S53" s="109">
        <f>Q53/$Q$273</f>
        <v>3.4371777645845702E-3</v>
      </c>
    </row>
    <row r="54" spans="1:19" ht="15.75" hidden="1" outlineLevel="1" x14ac:dyDescent="0.25">
      <c r="A54" s="216" t="s">
        <v>144</v>
      </c>
      <c r="B54" s="213" t="s">
        <v>12</v>
      </c>
      <c r="C54" s="222" t="s">
        <v>29</v>
      </c>
      <c r="D54" s="77" t="s">
        <v>14</v>
      </c>
      <c r="E54" s="78">
        <v>3703.5</v>
      </c>
      <c r="F54" s="78">
        <v>1075</v>
      </c>
      <c r="G54" s="79">
        <v>2628.5</v>
      </c>
      <c r="H54" s="260">
        <v>3022.5</v>
      </c>
      <c r="I54" s="80">
        <v>2042.5</v>
      </c>
      <c r="J54" s="80">
        <v>5186</v>
      </c>
      <c r="K54" s="80">
        <v>3618.5</v>
      </c>
      <c r="L54" s="80"/>
      <c r="M54" s="80"/>
      <c r="N54" s="80"/>
      <c r="O54" s="80"/>
      <c r="P54" s="80"/>
      <c r="Q54" s="90">
        <f>+SUM(E54:P54)</f>
        <v>21276.5</v>
      </c>
      <c r="R54" s="301">
        <f>Q54/Q55</f>
        <v>0.42553000000000002</v>
      </c>
      <c r="S54" s="110">
        <v>0</v>
      </c>
    </row>
    <row r="55" spans="1:19" ht="16.5" hidden="1" outlineLevel="1" thickBot="1" x14ac:dyDescent="0.3">
      <c r="A55" s="217"/>
      <c r="B55" s="129"/>
      <c r="C55" s="223"/>
      <c r="D55" s="137" t="s">
        <v>1</v>
      </c>
      <c r="E55" s="88">
        <v>4500</v>
      </c>
      <c r="F55" s="88">
        <v>4500</v>
      </c>
      <c r="G55" s="88">
        <v>5500</v>
      </c>
      <c r="H55" s="88">
        <v>5500</v>
      </c>
      <c r="I55" s="88">
        <v>2500</v>
      </c>
      <c r="J55" s="88">
        <v>2500</v>
      </c>
      <c r="K55" s="88">
        <v>2500</v>
      </c>
      <c r="L55" s="88">
        <v>5500</v>
      </c>
      <c r="M55" s="88">
        <v>2500</v>
      </c>
      <c r="N55" s="88">
        <v>3500</v>
      </c>
      <c r="O55" s="88">
        <v>5500</v>
      </c>
      <c r="P55" s="88">
        <v>5500</v>
      </c>
      <c r="Q55" s="141">
        <f>SUM(E55:P55)</f>
        <v>50000</v>
      </c>
      <c r="R55" s="302"/>
      <c r="S55" s="109">
        <f>Q55/$Q$273</f>
        <v>3.1247070587132456E-3</v>
      </c>
    </row>
    <row r="56" spans="1:19" ht="15.75" hidden="1" outlineLevel="1" x14ac:dyDescent="0.25">
      <c r="A56" s="216" t="s">
        <v>144</v>
      </c>
      <c r="B56" s="213" t="s">
        <v>12</v>
      </c>
      <c r="C56" s="224" t="s">
        <v>132</v>
      </c>
      <c r="D56" s="77" t="s">
        <v>14</v>
      </c>
      <c r="E56" s="78">
        <v>3345</v>
      </c>
      <c r="F56" s="78">
        <v>2248</v>
      </c>
      <c r="G56" s="79">
        <v>330</v>
      </c>
      <c r="H56" s="260">
        <v>2862</v>
      </c>
      <c r="I56" s="80">
        <v>2740</v>
      </c>
      <c r="J56" s="80">
        <v>2068</v>
      </c>
      <c r="K56" s="80">
        <v>1462</v>
      </c>
      <c r="L56" s="80"/>
      <c r="M56" s="80"/>
      <c r="N56" s="80"/>
      <c r="O56" s="80"/>
      <c r="P56" s="80"/>
      <c r="Q56" s="90">
        <f>+SUM(E56:P56)</f>
        <v>15055</v>
      </c>
      <c r="R56" s="301">
        <f>Q56/Q57</f>
        <v>0.43014285714285716</v>
      </c>
      <c r="S56" s="110">
        <v>0</v>
      </c>
    </row>
    <row r="57" spans="1:19" ht="16.5" hidden="1" outlineLevel="1" thickBot="1" x14ac:dyDescent="0.3">
      <c r="A57" s="217"/>
      <c r="B57" s="129"/>
      <c r="C57" s="223"/>
      <c r="D57" s="137" t="s">
        <v>1</v>
      </c>
      <c r="E57" s="88">
        <v>3000</v>
      </c>
      <c r="F57" s="88"/>
      <c r="G57" s="88">
        <v>10000</v>
      </c>
      <c r="H57" s="88">
        <v>3000</v>
      </c>
      <c r="I57" s="88">
        <v>5500</v>
      </c>
      <c r="J57" s="88"/>
      <c r="K57" s="88"/>
      <c r="L57" s="88">
        <v>5500</v>
      </c>
      <c r="M57" s="88">
        <v>3000</v>
      </c>
      <c r="N57" s="88"/>
      <c r="O57" s="88">
        <v>2500</v>
      </c>
      <c r="P57" s="88">
        <v>2500</v>
      </c>
      <c r="Q57" s="141">
        <f>SUM(E57:P57)</f>
        <v>35000</v>
      </c>
      <c r="R57" s="302"/>
      <c r="S57" s="109">
        <f>Q57/$Q$273</f>
        <v>2.1872949410992721E-3</v>
      </c>
    </row>
    <row r="58" spans="1:19" ht="15.75" hidden="1" outlineLevel="1" x14ac:dyDescent="0.25">
      <c r="A58" s="216" t="s">
        <v>144</v>
      </c>
      <c r="B58" s="213" t="s">
        <v>12</v>
      </c>
      <c r="C58" s="222" t="s">
        <v>161</v>
      </c>
      <c r="D58" s="77" t="s">
        <v>14</v>
      </c>
      <c r="E58" s="78"/>
      <c r="F58" s="78"/>
      <c r="G58" s="79"/>
      <c r="H58" s="260"/>
      <c r="I58" s="80">
        <v>21326.94</v>
      </c>
      <c r="J58" s="80">
        <v>522.5</v>
      </c>
      <c r="K58" s="80">
        <v>1019.95</v>
      </c>
      <c r="L58" s="80"/>
      <c r="M58" s="80"/>
      <c r="N58" s="80"/>
      <c r="O58" s="80"/>
      <c r="P58" s="80"/>
      <c r="Q58" s="90">
        <f>+SUM(E58:P58)</f>
        <v>22869.39</v>
      </c>
      <c r="R58" s="301">
        <f>Q58/Q59</f>
        <v>0.45738780000000001</v>
      </c>
      <c r="S58" s="110">
        <v>0</v>
      </c>
    </row>
    <row r="59" spans="1:19" ht="16.5" hidden="1" outlineLevel="1" thickBot="1" x14ac:dyDescent="0.3">
      <c r="A59" s="217"/>
      <c r="B59" s="129"/>
      <c r="C59" s="223"/>
      <c r="D59" s="81" t="s">
        <v>1</v>
      </c>
      <c r="E59" s="88"/>
      <c r="F59" s="88"/>
      <c r="G59" s="88"/>
      <c r="H59" s="88">
        <v>25000</v>
      </c>
      <c r="I59" s="88">
        <v>25000</v>
      </c>
      <c r="J59" s="88"/>
      <c r="K59" s="88"/>
      <c r="L59" s="88"/>
      <c r="M59" s="88"/>
      <c r="N59" s="88"/>
      <c r="O59" s="88"/>
      <c r="P59" s="88"/>
      <c r="Q59" s="141">
        <f>SUM(E59:P59)</f>
        <v>50000</v>
      </c>
      <c r="R59" s="302"/>
      <c r="S59" s="109">
        <f>Q59/$Q$273</f>
        <v>3.1247070587132456E-3</v>
      </c>
    </row>
    <row r="60" spans="1:19" ht="15.75" hidden="1" outlineLevel="1" x14ac:dyDescent="0.25">
      <c r="A60" s="216" t="s">
        <v>144</v>
      </c>
      <c r="B60" s="213" t="s">
        <v>12</v>
      </c>
      <c r="C60" s="222" t="s">
        <v>150</v>
      </c>
      <c r="D60" s="77" t="s">
        <v>14</v>
      </c>
      <c r="E60" s="78"/>
      <c r="F60" s="78"/>
      <c r="G60" s="79"/>
      <c r="H60" s="260">
        <v>5030</v>
      </c>
      <c r="I60" s="80">
        <v>5044.5</v>
      </c>
      <c r="J60" s="80"/>
      <c r="K60" s="80"/>
      <c r="L60" s="80"/>
      <c r="M60" s="80"/>
      <c r="N60" s="80"/>
      <c r="O60" s="80"/>
      <c r="P60" s="80"/>
      <c r="Q60" s="90">
        <f>+SUM(E60:P60)</f>
        <v>10074.5</v>
      </c>
      <c r="R60" s="301">
        <f>Q60/Q61</f>
        <v>0.22387777777777779</v>
      </c>
      <c r="S60" s="110">
        <v>0</v>
      </c>
    </row>
    <row r="61" spans="1:19" ht="16.5" hidden="1" outlineLevel="1" thickBot="1" x14ac:dyDescent="0.3">
      <c r="A61" s="217"/>
      <c r="B61" s="129"/>
      <c r="C61" s="223"/>
      <c r="D61" s="81" t="s">
        <v>1</v>
      </c>
      <c r="E61" s="88"/>
      <c r="F61" s="88"/>
      <c r="G61" s="88">
        <v>29000</v>
      </c>
      <c r="H61" s="88"/>
      <c r="I61" s="88"/>
      <c r="J61" s="88">
        <v>5500</v>
      </c>
      <c r="K61" s="88"/>
      <c r="L61" s="88"/>
      <c r="M61" s="88">
        <v>5500</v>
      </c>
      <c r="N61" s="88"/>
      <c r="O61" s="88">
        <v>5000</v>
      </c>
      <c r="P61" s="88"/>
      <c r="Q61" s="141">
        <f>SUM(E61:P61)</f>
        <v>45000</v>
      </c>
      <c r="R61" s="302"/>
      <c r="S61" s="109">
        <f>Q61/$Q$273</f>
        <v>2.8122363528419211E-3</v>
      </c>
    </row>
    <row r="62" spans="1:19" ht="15.75" hidden="1" outlineLevel="1" x14ac:dyDescent="0.25">
      <c r="A62" s="216" t="s">
        <v>144</v>
      </c>
      <c r="B62" s="213" t="s">
        <v>12</v>
      </c>
      <c r="C62" s="222" t="s">
        <v>16</v>
      </c>
      <c r="D62" s="77" t="s">
        <v>14</v>
      </c>
      <c r="E62" s="78">
        <v>2144</v>
      </c>
      <c r="F62" s="78">
        <v>8159.5</v>
      </c>
      <c r="G62" s="79">
        <v>4008</v>
      </c>
      <c r="H62" s="260">
        <v>3092.76</v>
      </c>
      <c r="I62" s="80">
        <v>1047.5</v>
      </c>
      <c r="J62" s="80">
        <v>655</v>
      </c>
      <c r="K62" s="80">
        <v>1595</v>
      </c>
      <c r="L62" s="80"/>
      <c r="M62" s="80"/>
      <c r="N62" s="80"/>
      <c r="O62" s="80"/>
      <c r="P62" s="80"/>
      <c r="Q62" s="90">
        <f>+SUM(E62:P62)</f>
        <v>20701.760000000002</v>
      </c>
      <c r="R62" s="301">
        <f>Q62/Q63</f>
        <v>1.035088</v>
      </c>
      <c r="S62" s="110">
        <v>0</v>
      </c>
    </row>
    <row r="63" spans="1:19" ht="16.5" hidden="1" outlineLevel="1" thickBot="1" x14ac:dyDescent="0.3">
      <c r="A63" s="217"/>
      <c r="B63" s="129"/>
      <c r="C63" s="223"/>
      <c r="D63" s="81" t="s">
        <v>1</v>
      </c>
      <c r="E63" s="88">
        <v>4000</v>
      </c>
      <c r="F63" s="88">
        <v>4000</v>
      </c>
      <c r="G63" s="88">
        <v>1500</v>
      </c>
      <c r="H63" s="88">
        <v>1500</v>
      </c>
      <c r="I63" s="88">
        <v>1500</v>
      </c>
      <c r="J63" s="88"/>
      <c r="K63" s="88">
        <v>2000</v>
      </c>
      <c r="L63" s="88">
        <v>2000</v>
      </c>
      <c r="M63" s="88">
        <v>2000</v>
      </c>
      <c r="N63" s="88"/>
      <c r="O63" s="88"/>
      <c r="P63" s="88">
        <v>1500</v>
      </c>
      <c r="Q63" s="141">
        <f>SUM(E63:P63)</f>
        <v>20000</v>
      </c>
      <c r="R63" s="302"/>
      <c r="S63" s="109">
        <f>Q63/$Q$273</f>
        <v>1.2498828234852983E-3</v>
      </c>
    </row>
    <row r="64" spans="1:19" ht="15.75" hidden="1" outlineLevel="1" x14ac:dyDescent="0.25">
      <c r="A64" s="216" t="s">
        <v>144</v>
      </c>
      <c r="B64" s="213" t="s">
        <v>12</v>
      </c>
      <c r="C64" s="222" t="s">
        <v>151</v>
      </c>
      <c r="D64" s="77" t="s">
        <v>14</v>
      </c>
      <c r="E64" s="78"/>
      <c r="F64" s="78"/>
      <c r="G64" s="79"/>
      <c r="H64" s="260">
        <v>3315</v>
      </c>
      <c r="I64" s="80"/>
      <c r="J64" s="80">
        <v>325</v>
      </c>
      <c r="K64" s="80"/>
      <c r="L64" s="80"/>
      <c r="M64" s="80"/>
      <c r="N64" s="80"/>
      <c r="O64" s="80"/>
      <c r="P64" s="80"/>
      <c r="Q64" s="90">
        <f>+SUM(E64:P64)</f>
        <v>3640</v>
      </c>
      <c r="R64" s="301">
        <f>Q64/Q65</f>
        <v>0.14560000000000001</v>
      </c>
      <c r="S64" s="110">
        <v>0</v>
      </c>
    </row>
    <row r="65" spans="1:21" ht="16.5" hidden="1" outlineLevel="1" thickBot="1" x14ac:dyDescent="0.3">
      <c r="A65" s="217"/>
      <c r="B65" s="129"/>
      <c r="C65" s="223"/>
      <c r="D65" s="81" t="s">
        <v>1</v>
      </c>
      <c r="E65" s="88">
        <v>2000</v>
      </c>
      <c r="F65" s="88">
        <v>2000</v>
      </c>
      <c r="G65" s="88">
        <v>2000</v>
      </c>
      <c r="H65" s="88">
        <v>2000</v>
      </c>
      <c r="I65" s="88">
        <v>2000</v>
      </c>
      <c r="J65" s="88">
        <v>2500</v>
      </c>
      <c r="K65" s="88">
        <v>2000</v>
      </c>
      <c r="L65" s="88">
        <v>2000</v>
      </c>
      <c r="M65" s="88">
        <v>2000</v>
      </c>
      <c r="N65" s="88">
        <v>2500</v>
      </c>
      <c r="O65" s="88">
        <v>2000</v>
      </c>
      <c r="P65" s="88">
        <v>2000</v>
      </c>
      <c r="Q65" s="141">
        <f>SUM(E65:P65)</f>
        <v>25000</v>
      </c>
      <c r="R65" s="302"/>
      <c r="S65" s="109">
        <f>Q65/$Q$273</f>
        <v>1.5623535293566228E-3</v>
      </c>
    </row>
    <row r="66" spans="1:21" ht="15.75" hidden="1" outlineLevel="1" x14ac:dyDescent="0.25">
      <c r="A66" s="216" t="s">
        <v>144</v>
      </c>
      <c r="B66" s="213" t="s">
        <v>12</v>
      </c>
      <c r="C66" s="222" t="s">
        <v>152</v>
      </c>
      <c r="D66" s="77" t="s">
        <v>14</v>
      </c>
      <c r="E66" s="78"/>
      <c r="F66" s="78"/>
      <c r="G66" s="79"/>
      <c r="H66" s="260">
        <v>508.5</v>
      </c>
      <c r="I66" s="80">
        <v>212</v>
      </c>
      <c r="J66" s="80">
        <v>194.5</v>
      </c>
      <c r="K66" s="80">
        <v>219</v>
      </c>
      <c r="L66" s="80"/>
      <c r="M66" s="80"/>
      <c r="N66" s="80"/>
      <c r="O66" s="80"/>
      <c r="P66" s="80"/>
      <c r="Q66" s="90">
        <f>+SUM(E66:P66)</f>
        <v>1134</v>
      </c>
      <c r="R66" s="301">
        <f>Q66/Q67</f>
        <v>3.78E-2</v>
      </c>
      <c r="S66" s="110">
        <v>0</v>
      </c>
    </row>
    <row r="67" spans="1:21" ht="16.5" hidden="1" outlineLevel="1" thickBot="1" x14ac:dyDescent="0.3">
      <c r="A67" s="217"/>
      <c r="B67" s="129"/>
      <c r="C67" s="223"/>
      <c r="D67" s="81" t="s">
        <v>1</v>
      </c>
      <c r="E67" s="88">
        <v>2500</v>
      </c>
      <c r="F67" s="88">
        <v>2500</v>
      </c>
      <c r="G67" s="88">
        <v>2500</v>
      </c>
      <c r="H67" s="88">
        <v>2500</v>
      </c>
      <c r="I67" s="88">
        <v>2500</v>
      </c>
      <c r="J67" s="88">
        <v>2500</v>
      </c>
      <c r="K67" s="88">
        <v>2500</v>
      </c>
      <c r="L67" s="88">
        <v>2500</v>
      </c>
      <c r="M67" s="88">
        <v>2500</v>
      </c>
      <c r="N67" s="88">
        <v>2500</v>
      </c>
      <c r="O67" s="88">
        <v>2500</v>
      </c>
      <c r="P67" s="88">
        <v>2500</v>
      </c>
      <c r="Q67" s="141">
        <f>SUM(E67:P67)</f>
        <v>30000</v>
      </c>
      <c r="R67" s="302"/>
      <c r="S67" s="109">
        <f>Q67/$Q$273</f>
        <v>1.8748242352279473E-3</v>
      </c>
    </row>
    <row r="68" spans="1:21" ht="15.75" hidden="1" outlineLevel="1" x14ac:dyDescent="0.25">
      <c r="A68" s="216" t="s">
        <v>144</v>
      </c>
      <c r="B68" s="213" t="s">
        <v>12</v>
      </c>
      <c r="C68" s="218" t="s">
        <v>162</v>
      </c>
      <c r="D68" s="77" t="s">
        <v>14</v>
      </c>
      <c r="E68" s="78"/>
      <c r="F68" s="78"/>
      <c r="G68" s="79"/>
      <c r="H68" s="260"/>
      <c r="I68" s="80">
        <v>6204</v>
      </c>
      <c r="J68" s="80">
        <v>96</v>
      </c>
      <c r="K68" s="80"/>
      <c r="L68" s="80"/>
      <c r="M68" s="80"/>
      <c r="N68" s="80"/>
      <c r="O68" s="80"/>
      <c r="P68" s="80"/>
      <c r="Q68" s="90">
        <f>+SUM(E68:P68)</f>
        <v>6300</v>
      </c>
      <c r="R68" s="301">
        <f>Q68/Q69</f>
        <v>0.42</v>
      </c>
      <c r="S68" s="110">
        <v>0</v>
      </c>
    </row>
    <row r="69" spans="1:21" ht="16.5" hidden="1" outlineLevel="1" thickBot="1" x14ac:dyDescent="0.3">
      <c r="A69" s="217"/>
      <c r="B69" s="129"/>
      <c r="C69" s="219"/>
      <c r="D69" s="81" t="s">
        <v>1</v>
      </c>
      <c r="E69" s="88">
        <v>1250</v>
      </c>
      <c r="F69" s="88">
        <v>1250</v>
      </c>
      <c r="G69" s="88">
        <v>1250</v>
      </c>
      <c r="H69" s="88">
        <v>1250</v>
      </c>
      <c r="I69" s="88">
        <v>1250</v>
      </c>
      <c r="J69" s="88">
        <v>1250</v>
      </c>
      <c r="K69" s="88">
        <v>1250</v>
      </c>
      <c r="L69" s="88">
        <v>1250</v>
      </c>
      <c r="M69" s="88">
        <v>1250</v>
      </c>
      <c r="N69" s="88">
        <v>1250</v>
      </c>
      <c r="O69" s="88">
        <v>1250</v>
      </c>
      <c r="P69" s="88">
        <v>1250</v>
      </c>
      <c r="Q69" s="141">
        <f>SUM(E69:P69)</f>
        <v>15000</v>
      </c>
      <c r="R69" s="302"/>
      <c r="S69" s="109">
        <f>Q69/$Q$273</f>
        <v>9.3741211761397367E-4</v>
      </c>
    </row>
    <row r="70" spans="1:21" ht="15.75" hidden="1" outlineLevel="1" x14ac:dyDescent="0.25">
      <c r="A70" s="216" t="s">
        <v>144</v>
      </c>
      <c r="B70" s="213" t="s">
        <v>12</v>
      </c>
      <c r="C70" s="218" t="s">
        <v>44</v>
      </c>
      <c r="D70" s="77" t="s">
        <v>14</v>
      </c>
      <c r="E70" s="78">
        <v>6839</v>
      </c>
      <c r="F70" s="78">
        <v>1712</v>
      </c>
      <c r="G70" s="79">
        <v>769.5</v>
      </c>
      <c r="H70" s="260">
        <v>1709</v>
      </c>
      <c r="I70" s="80"/>
      <c r="J70" s="80"/>
      <c r="K70" s="80"/>
      <c r="L70" s="80"/>
      <c r="M70" s="80"/>
      <c r="N70" s="80"/>
      <c r="O70" s="80"/>
      <c r="P70" s="80"/>
      <c r="Q70" s="90">
        <f>+SUM(E70:P70)</f>
        <v>11029.5</v>
      </c>
      <c r="R70" s="301">
        <f>Q70/Q71</f>
        <v>0.22059000000000001</v>
      </c>
      <c r="S70" s="110">
        <v>0</v>
      </c>
    </row>
    <row r="71" spans="1:21" ht="16.5" hidden="1" outlineLevel="1" thickBot="1" x14ac:dyDescent="0.3">
      <c r="A71" s="217"/>
      <c r="B71" s="129"/>
      <c r="C71" s="219"/>
      <c r="D71" s="81" t="s">
        <v>1</v>
      </c>
      <c r="E71" s="102">
        <v>2500</v>
      </c>
      <c r="F71" s="102">
        <v>7000</v>
      </c>
      <c r="G71" s="102">
        <v>500</v>
      </c>
      <c r="H71" s="102">
        <v>3000</v>
      </c>
      <c r="I71" s="102">
        <v>8000</v>
      </c>
      <c r="J71" s="102">
        <v>3000</v>
      </c>
      <c r="K71" s="102">
        <v>2000</v>
      </c>
      <c r="L71" s="102">
        <v>4000</v>
      </c>
      <c r="M71" s="102">
        <v>6000</v>
      </c>
      <c r="N71" s="102">
        <v>4000</v>
      </c>
      <c r="O71" s="102">
        <v>5000</v>
      </c>
      <c r="P71" s="102">
        <v>5000</v>
      </c>
      <c r="Q71" s="141">
        <f>SUM(E71:P71)</f>
        <v>50000</v>
      </c>
      <c r="R71" s="302"/>
      <c r="S71" s="109">
        <f>Q71/$Q$273</f>
        <v>3.1247070587132456E-3</v>
      </c>
    </row>
    <row r="72" spans="1:21" ht="15.75" hidden="1" outlineLevel="1" x14ac:dyDescent="0.25">
      <c r="A72" s="216" t="s">
        <v>144</v>
      </c>
      <c r="B72" s="213" t="s">
        <v>12</v>
      </c>
      <c r="C72" s="218" t="s">
        <v>114</v>
      </c>
      <c r="D72" s="77" t="s">
        <v>14</v>
      </c>
      <c r="E72" s="78">
        <v>3999</v>
      </c>
      <c r="F72" s="78">
        <v>6412</v>
      </c>
      <c r="G72" s="79">
        <v>948</v>
      </c>
      <c r="H72" s="260">
        <v>2512.5</v>
      </c>
      <c r="I72" s="80">
        <v>1293.5</v>
      </c>
      <c r="J72" s="80">
        <v>552</v>
      </c>
      <c r="K72" s="80">
        <v>954.5</v>
      </c>
      <c r="L72" s="80"/>
      <c r="M72" s="80"/>
      <c r="N72" s="80"/>
      <c r="O72" s="80"/>
      <c r="P72" s="80"/>
      <c r="Q72" s="90">
        <f>+SUM(E72:P72)</f>
        <v>16671.5</v>
      </c>
      <c r="R72" s="301">
        <f>Q72/Q73</f>
        <v>0.33012871287128714</v>
      </c>
      <c r="S72" s="110">
        <v>0</v>
      </c>
    </row>
    <row r="73" spans="1:21" ht="16.5" hidden="1" outlineLevel="1" thickBot="1" x14ac:dyDescent="0.3">
      <c r="A73" s="217"/>
      <c r="B73" s="129"/>
      <c r="C73" s="219"/>
      <c r="D73" s="81" t="s">
        <v>1</v>
      </c>
      <c r="E73" s="88">
        <v>3000</v>
      </c>
      <c r="F73" s="88">
        <v>3000</v>
      </c>
      <c r="G73" s="88">
        <v>10000</v>
      </c>
      <c r="H73" s="88">
        <v>3000</v>
      </c>
      <c r="I73" s="88">
        <v>10000</v>
      </c>
      <c r="J73" s="88">
        <v>3000</v>
      </c>
      <c r="K73" s="88">
        <v>3000</v>
      </c>
      <c r="L73" s="88">
        <v>3500</v>
      </c>
      <c r="M73" s="88">
        <v>3000</v>
      </c>
      <c r="N73" s="88">
        <v>3000</v>
      </c>
      <c r="O73" s="88">
        <v>3000</v>
      </c>
      <c r="P73" s="88">
        <v>3000</v>
      </c>
      <c r="Q73" s="141">
        <f>SUM(E73:P73)</f>
        <v>50500</v>
      </c>
      <c r="R73" s="302"/>
      <c r="S73" s="109">
        <f>Q73/$Q$273</f>
        <v>3.155954129300378E-3</v>
      </c>
    </row>
    <row r="74" spans="1:21" ht="15.75" hidden="1" outlineLevel="1" x14ac:dyDescent="0.25">
      <c r="A74" s="216" t="s">
        <v>144</v>
      </c>
      <c r="B74" s="213" t="s">
        <v>12</v>
      </c>
      <c r="C74" s="218" t="s">
        <v>163</v>
      </c>
      <c r="D74" s="77" t="s">
        <v>14</v>
      </c>
      <c r="E74" s="78"/>
      <c r="F74" s="78"/>
      <c r="G74" s="79"/>
      <c r="H74" s="260">
        <v>6754</v>
      </c>
      <c r="I74" s="80">
        <v>5832</v>
      </c>
      <c r="J74" s="80">
        <v>1086</v>
      </c>
      <c r="K74" s="80">
        <v>7890.5</v>
      </c>
      <c r="L74" s="80"/>
      <c r="M74" s="80"/>
      <c r="N74" s="80"/>
      <c r="O74" s="80"/>
      <c r="P74" s="80"/>
      <c r="Q74" s="90">
        <f>+SUM(E74:P74)</f>
        <v>21562.5</v>
      </c>
      <c r="R74" s="301">
        <f>Q74/Q75</f>
        <v>0.5390625</v>
      </c>
      <c r="S74" s="110">
        <v>0</v>
      </c>
    </row>
    <row r="75" spans="1:21" ht="16.5" hidden="1" outlineLevel="1" thickBot="1" x14ac:dyDescent="0.3">
      <c r="A75" s="217"/>
      <c r="B75" s="129"/>
      <c r="C75" s="219"/>
      <c r="D75" s="81" t="s">
        <v>1</v>
      </c>
      <c r="E75" s="88">
        <v>3500</v>
      </c>
      <c r="F75" s="88">
        <v>3500</v>
      </c>
      <c r="G75" s="88">
        <v>3500</v>
      </c>
      <c r="H75" s="88">
        <v>3500</v>
      </c>
      <c r="I75" s="88">
        <v>3500</v>
      </c>
      <c r="J75" s="88">
        <v>3500</v>
      </c>
      <c r="K75" s="88">
        <v>3500</v>
      </c>
      <c r="L75" s="88">
        <v>3500</v>
      </c>
      <c r="M75" s="88">
        <v>3000</v>
      </c>
      <c r="N75" s="88">
        <v>3000</v>
      </c>
      <c r="O75" s="88">
        <v>3000</v>
      </c>
      <c r="P75" s="88">
        <v>3000</v>
      </c>
      <c r="Q75" s="141">
        <f>SUM(E75:P75)</f>
        <v>40000</v>
      </c>
      <c r="R75" s="302"/>
      <c r="S75" s="109">
        <f>Q75/$Q$273</f>
        <v>2.4997656469705966E-3</v>
      </c>
    </row>
    <row r="76" spans="1:21" ht="15.75" hidden="1" outlineLevel="1" x14ac:dyDescent="0.25">
      <c r="A76" s="216" t="s">
        <v>144</v>
      </c>
      <c r="B76" s="213" t="s">
        <v>12</v>
      </c>
      <c r="C76" s="218" t="s">
        <v>153</v>
      </c>
      <c r="D76" s="77" t="s">
        <v>14</v>
      </c>
      <c r="E76" s="78"/>
      <c r="F76" s="78"/>
      <c r="G76" s="79"/>
      <c r="H76" s="260">
        <v>776</v>
      </c>
      <c r="I76" s="80"/>
      <c r="J76" s="80"/>
      <c r="K76" s="80">
        <v>10495</v>
      </c>
      <c r="L76" s="80"/>
      <c r="M76" s="80"/>
      <c r="N76" s="80"/>
      <c r="O76" s="80"/>
      <c r="P76" s="80"/>
      <c r="Q76" s="90">
        <f>+SUM(E76:P76)</f>
        <v>11271</v>
      </c>
      <c r="R76" s="301">
        <f>Q76/Q77</f>
        <v>0.22542000000000001</v>
      </c>
      <c r="S76" s="110">
        <v>0</v>
      </c>
    </row>
    <row r="77" spans="1:21" ht="16.5" hidden="1" outlineLevel="1" thickBot="1" x14ac:dyDescent="0.3">
      <c r="A77" s="217"/>
      <c r="B77" s="129"/>
      <c r="C77" s="219"/>
      <c r="D77" s="81" t="s">
        <v>1</v>
      </c>
      <c r="E77" s="88">
        <v>4500</v>
      </c>
      <c r="F77" s="88">
        <v>4500</v>
      </c>
      <c r="G77" s="88">
        <v>5500</v>
      </c>
      <c r="H77" s="88">
        <v>5500</v>
      </c>
      <c r="I77" s="88">
        <v>2500</v>
      </c>
      <c r="J77" s="88">
        <v>2500</v>
      </c>
      <c r="K77" s="88">
        <v>2500</v>
      </c>
      <c r="L77" s="88">
        <v>5500</v>
      </c>
      <c r="M77" s="88">
        <v>2500</v>
      </c>
      <c r="N77" s="88">
        <v>3500</v>
      </c>
      <c r="O77" s="88">
        <v>5500</v>
      </c>
      <c r="P77" s="88">
        <v>5500</v>
      </c>
      <c r="Q77" s="141">
        <f>SUM(E77:P77)</f>
        <v>50000</v>
      </c>
      <c r="R77" s="302"/>
      <c r="S77" s="109">
        <f>Q77/$Q$273</f>
        <v>3.1247070587132456E-3</v>
      </c>
    </row>
    <row r="78" spans="1:21" ht="15.75" hidden="1" outlineLevel="1" x14ac:dyDescent="0.25">
      <c r="A78" s="216" t="s">
        <v>144</v>
      </c>
      <c r="B78" s="213" t="s">
        <v>23</v>
      </c>
      <c r="C78" s="222" t="s">
        <v>154</v>
      </c>
      <c r="D78" s="77" t="s">
        <v>14</v>
      </c>
      <c r="E78" s="78"/>
      <c r="F78" s="78"/>
      <c r="G78" s="79"/>
      <c r="H78" s="260">
        <v>16801.2</v>
      </c>
      <c r="I78" s="80">
        <v>16863.599999999999</v>
      </c>
      <c r="J78" s="80">
        <v>6928.55</v>
      </c>
      <c r="K78" s="80">
        <v>6724.25</v>
      </c>
      <c r="L78" s="80"/>
      <c r="M78" s="80"/>
      <c r="N78" s="80"/>
      <c r="O78" s="80"/>
      <c r="P78" s="80"/>
      <c r="Q78" s="90">
        <f>+SUM(E78:P78)</f>
        <v>47317.600000000006</v>
      </c>
      <c r="R78" s="313">
        <f>Q78/Q80</f>
        <v>0.47317600000000004</v>
      </c>
      <c r="S78" s="110">
        <v>0</v>
      </c>
    </row>
    <row r="79" spans="1:21" ht="15.75" hidden="1" outlineLevel="1" x14ac:dyDescent="0.25">
      <c r="A79" s="217"/>
      <c r="B79" s="129"/>
      <c r="C79" s="223"/>
      <c r="D79" s="84" t="s">
        <v>25</v>
      </c>
      <c r="E79" s="144"/>
      <c r="F79" s="145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91">
        <f>SUM(E79:P79)</f>
        <v>0</v>
      </c>
      <c r="R79" s="314"/>
      <c r="S79" s="109"/>
    </row>
    <row r="80" spans="1:21" ht="16.5" hidden="1" outlineLevel="1" thickBot="1" x14ac:dyDescent="0.3">
      <c r="A80" s="217"/>
      <c r="B80" s="129"/>
      <c r="C80" s="223"/>
      <c r="D80" s="81" t="s">
        <v>1</v>
      </c>
      <c r="E80" s="118"/>
      <c r="F80" s="118">
        <v>10000</v>
      </c>
      <c r="G80" s="118">
        <v>10000</v>
      </c>
      <c r="H80" s="118">
        <v>10000</v>
      </c>
      <c r="I80" s="118">
        <v>10000</v>
      </c>
      <c r="J80" s="118">
        <v>10000</v>
      </c>
      <c r="K80" s="118">
        <v>5000</v>
      </c>
      <c r="L80" s="118">
        <v>10000</v>
      </c>
      <c r="M80" s="118">
        <v>5000</v>
      </c>
      <c r="N80" s="118">
        <v>10000</v>
      </c>
      <c r="O80" s="118">
        <v>10000</v>
      </c>
      <c r="P80" s="118">
        <v>10000</v>
      </c>
      <c r="Q80" s="119">
        <f>SUM(E80:P80)</f>
        <v>100000</v>
      </c>
      <c r="R80" s="314"/>
      <c r="S80" s="109">
        <f>Q80/$Q$273</f>
        <v>6.2494141174264913E-3</v>
      </c>
      <c r="U80" s="130"/>
    </row>
    <row r="81" spans="1:20" ht="17.25" collapsed="1" thickTop="1" thickBot="1" x14ac:dyDescent="0.25">
      <c r="A81" s="226" t="s">
        <v>144</v>
      </c>
      <c r="B81" s="228" t="s">
        <v>0</v>
      </c>
      <c r="C81" s="226" t="s">
        <v>0</v>
      </c>
      <c r="D81" s="56" t="s">
        <v>14</v>
      </c>
      <c r="E81" s="89">
        <f t="shared" ref="E81:F81" si="7">SUM(E52,E54,E58,E60,E62,E64,E66,E68,E70,E74,E78+E79+E56+E72)</f>
        <v>20800.5</v>
      </c>
      <c r="F81" s="89">
        <f t="shared" si="7"/>
        <v>27377.25</v>
      </c>
      <c r="G81" s="89">
        <f t="shared" ref="G81:Q81" si="8">SUM(G52,G54,G58,G60,G62,G64,G66,G68,G70,G74,G78+G79+G56+G72)</f>
        <v>14213.970000000001</v>
      </c>
      <c r="H81" s="89">
        <f t="shared" si="8"/>
        <v>50058.86</v>
      </c>
      <c r="I81" s="89">
        <f t="shared" si="8"/>
        <v>65197.909999999996</v>
      </c>
      <c r="J81" s="89">
        <f t="shared" si="8"/>
        <v>19510.739999999998</v>
      </c>
      <c r="K81" s="89">
        <f>SUM(K52,K54,K58,K60,K62,K64,K66,K68,K70,K74,K78+K79+K56+K72+K76)</f>
        <v>35937.979999999996</v>
      </c>
      <c r="L81" s="89">
        <f t="shared" ref="L81:P81" si="9">SUM(L52,L54,L58,L60,L62,L64,L66,L68,L70,L74,L78+L79+L56+L72+L76)</f>
        <v>0</v>
      </c>
      <c r="M81" s="89">
        <f t="shared" si="9"/>
        <v>0</v>
      </c>
      <c r="N81" s="89">
        <f t="shared" si="9"/>
        <v>0</v>
      </c>
      <c r="O81" s="89">
        <f t="shared" si="9"/>
        <v>0</v>
      </c>
      <c r="P81" s="89">
        <f t="shared" si="9"/>
        <v>0</v>
      </c>
      <c r="Q81" s="89">
        <f t="shared" si="8"/>
        <v>222602.21000000002</v>
      </c>
      <c r="R81" s="315">
        <f>Q81/Q82</f>
        <v>0.36166077985377743</v>
      </c>
      <c r="S81" s="110">
        <v>0</v>
      </c>
      <c r="T81" s="130"/>
    </row>
    <row r="82" spans="1:20" ht="17.25" thickTop="1" thickBot="1" x14ac:dyDescent="0.3">
      <c r="A82" s="227"/>
      <c r="B82" s="229"/>
      <c r="C82" s="227"/>
      <c r="D82" s="64" t="s">
        <v>143</v>
      </c>
      <c r="E82" s="7">
        <f>SUM(E80+E77+E75+E73+E71+E69+E67+E65+E63+E61+E59+E57+E55+E53)</f>
        <v>33750</v>
      </c>
      <c r="F82" s="7">
        <f t="shared" ref="F82:P82" si="10">SUM(F80+F77+F75+F73+F71+F69+F67+F65+F63+F61+F59+F57+F55+F53)</f>
        <v>46450</v>
      </c>
      <c r="G82" s="7">
        <f t="shared" si="10"/>
        <v>82850</v>
      </c>
      <c r="H82" s="7">
        <f t="shared" si="10"/>
        <v>73250</v>
      </c>
      <c r="I82" s="7">
        <f t="shared" si="10"/>
        <v>79700</v>
      </c>
      <c r="J82" s="7">
        <f t="shared" si="10"/>
        <v>37750</v>
      </c>
      <c r="K82" s="7">
        <f t="shared" si="10"/>
        <v>30250</v>
      </c>
      <c r="L82" s="7">
        <f t="shared" si="10"/>
        <v>49250</v>
      </c>
      <c r="M82" s="7">
        <f t="shared" si="10"/>
        <v>46000</v>
      </c>
      <c r="N82" s="7">
        <f t="shared" si="10"/>
        <v>39950</v>
      </c>
      <c r="O82" s="7">
        <f t="shared" si="10"/>
        <v>49900</v>
      </c>
      <c r="P82" s="7">
        <f t="shared" si="10"/>
        <v>46400</v>
      </c>
      <c r="Q82" s="7">
        <f>SUM(Q80+Q77+Q75+Q73+Q71+Q69+Q67+Q65+Q63+Q61+Q59+Q57+Q55+Q53)</f>
        <v>615500</v>
      </c>
      <c r="R82" s="315"/>
      <c r="S82" s="109">
        <f>Q82/$Q$273</f>
        <v>3.8465143892760054E-2</v>
      </c>
    </row>
    <row r="83" spans="1:20" ht="17.25" thickTop="1" thickBot="1" x14ac:dyDescent="0.3">
      <c r="A83" s="227"/>
      <c r="B83" s="229"/>
      <c r="C83" s="227"/>
      <c r="D83" s="57" t="s">
        <v>2</v>
      </c>
      <c r="E83" s="8">
        <f>E81/E82</f>
        <v>0.61631111111111114</v>
      </c>
      <c r="F83" s="8">
        <v>0.9042606849315068</v>
      </c>
      <c r="G83" s="8">
        <f t="shared" ref="G83:P83" si="11">G81/G82</f>
        <v>0.17156270368135185</v>
      </c>
      <c r="H83" s="8">
        <f t="shared" si="11"/>
        <v>0.68339740614334477</v>
      </c>
      <c r="I83" s="8">
        <f t="shared" si="11"/>
        <v>0.81804153074027597</v>
      </c>
      <c r="J83" s="8">
        <f t="shared" si="11"/>
        <v>0.51684079470198674</v>
      </c>
      <c r="K83" s="8">
        <f t="shared" si="11"/>
        <v>1.1880323966942148</v>
      </c>
      <c r="L83" s="8">
        <f t="shared" si="11"/>
        <v>0</v>
      </c>
      <c r="M83" s="8">
        <f t="shared" si="11"/>
        <v>0</v>
      </c>
      <c r="N83" s="8">
        <f t="shared" si="11"/>
        <v>0</v>
      </c>
      <c r="O83" s="8">
        <f t="shared" si="11"/>
        <v>0</v>
      </c>
      <c r="P83" s="8">
        <f t="shared" si="11"/>
        <v>0</v>
      </c>
      <c r="Q83" s="46">
        <f>Q81/Q82</f>
        <v>0.36166077985377743</v>
      </c>
      <c r="R83" s="315"/>
      <c r="S83" s="103"/>
    </row>
    <row r="84" spans="1:20" ht="17.25" thickTop="1" thickBot="1" x14ac:dyDescent="0.3">
      <c r="A84" s="227"/>
      <c r="B84" s="229"/>
      <c r="C84" s="227"/>
      <c r="D84" s="65" t="s">
        <v>3</v>
      </c>
      <c r="E84" s="10">
        <f t="shared" ref="E84" si="12">E81-E82</f>
        <v>-12949.5</v>
      </c>
      <c r="F84" s="10">
        <v>-13977.940000000002</v>
      </c>
      <c r="G84" s="10">
        <f t="shared" ref="G84:P84" si="13">G81-G82</f>
        <v>-68636.03</v>
      </c>
      <c r="H84" s="10">
        <f t="shared" si="13"/>
        <v>-23191.14</v>
      </c>
      <c r="I84" s="10">
        <f t="shared" si="13"/>
        <v>-14502.090000000004</v>
      </c>
      <c r="J84" s="10">
        <f t="shared" si="13"/>
        <v>-18239.260000000002</v>
      </c>
      <c r="K84" s="10">
        <f t="shared" si="13"/>
        <v>5687.9799999999959</v>
      </c>
      <c r="L84" s="10">
        <f t="shared" si="13"/>
        <v>-49250</v>
      </c>
      <c r="M84" s="10">
        <f t="shared" si="13"/>
        <v>-46000</v>
      </c>
      <c r="N84" s="10">
        <f t="shared" si="13"/>
        <v>-39950</v>
      </c>
      <c r="O84" s="10">
        <f t="shared" si="13"/>
        <v>-49900</v>
      </c>
      <c r="P84" s="10">
        <f t="shared" si="13"/>
        <v>-46400</v>
      </c>
      <c r="Q84" s="47">
        <f>Q81-Q82</f>
        <v>-392897.79</v>
      </c>
      <c r="R84" s="315"/>
      <c r="S84" s="104"/>
    </row>
    <row r="85" spans="1:20" ht="16.5" thickBot="1" x14ac:dyDescent="0.3">
      <c r="A85" s="227"/>
      <c r="B85" s="229"/>
      <c r="C85" s="227"/>
      <c r="D85" s="66" t="s">
        <v>4</v>
      </c>
      <c r="E85" s="9">
        <f t="shared" ref="E85" si="14">E84/E81</f>
        <v>-0.62255715006850798</v>
      </c>
      <c r="F85" s="9">
        <v>-0.10587579075799911</v>
      </c>
      <c r="G85" s="9">
        <f t="shared" ref="G85:P85" si="15">G84/G81</f>
        <v>-4.828772679272574</v>
      </c>
      <c r="H85" s="9">
        <f t="shared" si="15"/>
        <v>-0.46327742980962811</v>
      </c>
      <c r="I85" s="9">
        <f t="shared" si="15"/>
        <v>-0.22243182335139278</v>
      </c>
      <c r="J85" s="9">
        <f t="shared" si="15"/>
        <v>-0.93483179008074546</v>
      </c>
      <c r="K85" s="9">
        <f t="shared" si="15"/>
        <v>0.15827211212205017</v>
      </c>
      <c r="L85" s="9" t="e">
        <f t="shared" si="15"/>
        <v>#DIV/0!</v>
      </c>
      <c r="M85" s="9" t="e">
        <f t="shared" si="15"/>
        <v>#DIV/0!</v>
      </c>
      <c r="N85" s="9" t="e">
        <f t="shared" si="15"/>
        <v>#DIV/0!</v>
      </c>
      <c r="O85" s="9" t="e">
        <f t="shared" si="15"/>
        <v>#DIV/0!</v>
      </c>
      <c r="P85" s="9" t="e">
        <f t="shared" si="15"/>
        <v>#DIV/0!</v>
      </c>
      <c r="Q85" s="48">
        <f>Q84/Q81</f>
        <v>-1.7650219645168839</v>
      </c>
      <c r="R85" s="18"/>
      <c r="S85" s="105"/>
    </row>
    <row r="86" spans="1:20" ht="15.75" thickBot="1" x14ac:dyDescent="0.25">
      <c r="A86" s="6"/>
      <c r="B86" s="6"/>
      <c r="C86" s="75"/>
      <c r="D86" s="67" t="s">
        <v>26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40"/>
      <c r="Q86" s="67"/>
      <c r="R86" s="36"/>
      <c r="S86" s="106"/>
    </row>
    <row r="87" spans="1:20" ht="15.75" hidden="1" outlineLevel="1" x14ac:dyDescent="0.25">
      <c r="A87" s="216" t="s">
        <v>145</v>
      </c>
      <c r="B87" s="213" t="s">
        <v>12</v>
      </c>
      <c r="C87" s="224" t="s">
        <v>109</v>
      </c>
      <c r="D87" s="77" t="s">
        <v>14</v>
      </c>
      <c r="E87" s="78">
        <v>5898.4</v>
      </c>
      <c r="F87" s="78">
        <v>9212.91</v>
      </c>
      <c r="G87" s="79">
        <v>5399.8081999999995</v>
      </c>
      <c r="H87" s="260">
        <v>5039.54</v>
      </c>
      <c r="I87" s="80">
        <v>7869.0364999999993</v>
      </c>
      <c r="J87" s="80">
        <v>5553.21</v>
      </c>
      <c r="K87" s="80">
        <v>1898.22</v>
      </c>
      <c r="L87" s="80"/>
      <c r="M87" s="122"/>
      <c r="N87" s="122"/>
      <c r="O87" s="122"/>
      <c r="P87" s="122"/>
      <c r="Q87" s="90">
        <f>+SUM(E87:P87)</f>
        <v>40871.1247</v>
      </c>
      <c r="R87" s="301">
        <f>Q87/Q88</f>
        <v>0.51088905875000001</v>
      </c>
      <c r="S87" s="110">
        <v>0</v>
      </c>
    </row>
    <row r="88" spans="1:20" ht="16.5" hidden="1" outlineLevel="1" thickBot="1" x14ac:dyDescent="0.3">
      <c r="A88" s="217"/>
      <c r="B88" s="129"/>
      <c r="C88" s="225"/>
      <c r="D88" s="81" t="s">
        <v>1</v>
      </c>
      <c r="E88" s="82">
        <v>6500</v>
      </c>
      <c r="F88" s="82">
        <v>6500</v>
      </c>
      <c r="G88" s="82">
        <v>6500</v>
      </c>
      <c r="H88" s="82">
        <v>6500</v>
      </c>
      <c r="I88" s="82">
        <v>7500</v>
      </c>
      <c r="J88" s="82">
        <v>6500</v>
      </c>
      <c r="K88" s="82">
        <v>5500</v>
      </c>
      <c r="L88" s="82">
        <v>5500</v>
      </c>
      <c r="M88" s="82">
        <v>7000</v>
      </c>
      <c r="N88" s="82">
        <v>7000</v>
      </c>
      <c r="O88" s="82">
        <v>7500</v>
      </c>
      <c r="P88" s="82">
        <v>7500</v>
      </c>
      <c r="Q88" s="141">
        <f>SUM(E88:P88)</f>
        <v>80000</v>
      </c>
      <c r="R88" s="302"/>
      <c r="S88" s="109">
        <f>Q88/$Q$273</f>
        <v>4.9995312939411932E-3</v>
      </c>
    </row>
    <row r="89" spans="1:20" ht="15.75" hidden="1" outlineLevel="1" x14ac:dyDescent="0.25">
      <c r="A89" s="216" t="s">
        <v>145</v>
      </c>
      <c r="B89" s="213" t="s">
        <v>12</v>
      </c>
      <c r="C89" s="218" t="s">
        <v>95</v>
      </c>
      <c r="D89" s="77" t="s">
        <v>14</v>
      </c>
      <c r="E89" s="78">
        <v>7496</v>
      </c>
      <c r="F89" s="78">
        <v>2499.5</v>
      </c>
      <c r="G89" s="79">
        <v>5203.6000000000004</v>
      </c>
      <c r="H89" s="260">
        <v>2554</v>
      </c>
      <c r="I89" s="80">
        <v>1314</v>
      </c>
      <c r="J89" s="80">
        <v>2074</v>
      </c>
      <c r="K89" s="80">
        <v>14893.5</v>
      </c>
      <c r="L89" s="80"/>
      <c r="M89" s="80"/>
      <c r="N89" s="80"/>
      <c r="O89" s="80"/>
      <c r="P89" s="80"/>
      <c r="Q89" s="90">
        <f>+SUM(E89:P89)</f>
        <v>36034.6</v>
      </c>
      <c r="R89" s="301">
        <f>Q89/Q90</f>
        <v>0.51112907801418439</v>
      </c>
      <c r="S89" s="110">
        <v>0</v>
      </c>
    </row>
    <row r="90" spans="1:20" ht="16.5" hidden="1" outlineLevel="1" thickBot="1" x14ac:dyDescent="0.3">
      <c r="A90" s="217"/>
      <c r="B90" s="129"/>
      <c r="C90" s="223"/>
      <c r="D90" s="137" t="s">
        <v>1</v>
      </c>
      <c r="E90" s="88">
        <v>7000</v>
      </c>
      <c r="F90" s="88">
        <v>6500</v>
      </c>
      <c r="G90" s="88">
        <v>6500</v>
      </c>
      <c r="H90" s="88">
        <v>5500</v>
      </c>
      <c r="I90" s="88">
        <v>5500</v>
      </c>
      <c r="J90" s="88">
        <v>5500</v>
      </c>
      <c r="K90" s="88">
        <v>5500</v>
      </c>
      <c r="L90" s="88">
        <v>5500</v>
      </c>
      <c r="M90" s="88">
        <v>5500</v>
      </c>
      <c r="N90" s="88">
        <v>6000</v>
      </c>
      <c r="O90" s="88">
        <v>5000</v>
      </c>
      <c r="P90" s="88">
        <v>6500</v>
      </c>
      <c r="Q90" s="141">
        <f>SUM(E90:P90)</f>
        <v>70500</v>
      </c>
      <c r="R90" s="302"/>
      <c r="S90" s="109">
        <f>Q90/$Q$273</f>
        <v>4.4058369527856765E-3</v>
      </c>
    </row>
    <row r="91" spans="1:20" ht="15.75" hidden="1" outlineLevel="1" x14ac:dyDescent="0.25">
      <c r="A91" s="216" t="s">
        <v>145</v>
      </c>
      <c r="B91" s="213" t="s">
        <v>12</v>
      </c>
      <c r="C91" s="222" t="s">
        <v>42</v>
      </c>
      <c r="D91" s="77" t="s">
        <v>14</v>
      </c>
      <c r="E91" s="78">
        <v>13885</v>
      </c>
      <c r="F91" s="78">
        <v>17552.650000000001</v>
      </c>
      <c r="G91" s="79">
        <v>21739.71</v>
      </c>
      <c r="H91" s="260">
        <v>14895</v>
      </c>
      <c r="I91" s="80">
        <v>20811.060000000001</v>
      </c>
      <c r="J91" s="80">
        <v>10554</v>
      </c>
      <c r="K91" s="80">
        <v>14888.03</v>
      </c>
      <c r="L91" s="80"/>
      <c r="M91" s="80"/>
      <c r="N91" s="80"/>
      <c r="O91" s="80"/>
      <c r="P91" s="80"/>
      <c r="Q91" s="90">
        <f>+SUM(E91:P91)</f>
        <v>114325.45</v>
      </c>
      <c r="R91" s="301">
        <f>Q91/Q92</f>
        <v>0.67250264705882357</v>
      </c>
      <c r="S91" s="110">
        <v>0</v>
      </c>
    </row>
    <row r="92" spans="1:20" ht="16.5" hidden="1" outlineLevel="1" thickBot="1" x14ac:dyDescent="0.3">
      <c r="A92" s="217"/>
      <c r="B92" s="129"/>
      <c r="C92" s="223"/>
      <c r="D92" s="137" t="s">
        <v>1</v>
      </c>
      <c r="E92" s="88">
        <v>20000</v>
      </c>
      <c r="F92" s="88">
        <v>20000</v>
      </c>
      <c r="G92" s="88">
        <v>18000</v>
      </c>
      <c r="H92" s="88">
        <v>14000</v>
      </c>
      <c r="I92" s="88">
        <v>13000</v>
      </c>
      <c r="J92" s="88">
        <v>10000</v>
      </c>
      <c r="K92" s="88">
        <v>13000</v>
      </c>
      <c r="L92" s="88">
        <v>13000</v>
      </c>
      <c r="M92" s="88">
        <v>10000</v>
      </c>
      <c r="N92" s="88">
        <v>13000</v>
      </c>
      <c r="O92" s="88">
        <v>13000</v>
      </c>
      <c r="P92" s="88">
        <v>13000</v>
      </c>
      <c r="Q92" s="141">
        <f>SUM(E92:P92)</f>
        <v>170000</v>
      </c>
      <c r="R92" s="302"/>
      <c r="S92" s="109">
        <f>Q92/$Q$273</f>
        <v>1.0624003999625035E-2</v>
      </c>
    </row>
    <row r="93" spans="1:20" ht="15.75" hidden="1" outlineLevel="1" x14ac:dyDescent="0.25">
      <c r="A93" s="216" t="s">
        <v>145</v>
      </c>
      <c r="B93" s="213" t="s">
        <v>12</v>
      </c>
      <c r="C93" s="218" t="s">
        <v>116</v>
      </c>
      <c r="D93" s="77" t="s">
        <v>14</v>
      </c>
      <c r="E93" s="78">
        <v>11524.8</v>
      </c>
      <c r="F93" s="78">
        <v>15193.6</v>
      </c>
      <c r="G93" s="79">
        <v>6915.6100000000006</v>
      </c>
      <c r="H93" s="260">
        <v>12298.1</v>
      </c>
      <c r="I93" s="80">
        <v>9769.2999999999993</v>
      </c>
      <c r="J93" s="80">
        <v>1833.05</v>
      </c>
      <c r="K93" s="80">
        <v>7323</v>
      </c>
      <c r="L93" s="80"/>
      <c r="M93" s="80"/>
      <c r="N93" s="80"/>
      <c r="O93" s="80"/>
      <c r="P93" s="80"/>
      <c r="Q93" s="90">
        <f>+SUM(E93:P93)</f>
        <v>64857.460000000006</v>
      </c>
      <c r="R93" s="301">
        <f>Q93/Q94</f>
        <v>0.4323830666666667</v>
      </c>
      <c r="S93" s="110">
        <v>0</v>
      </c>
    </row>
    <row r="94" spans="1:20" ht="16.5" hidden="1" outlineLevel="1" thickBot="1" x14ac:dyDescent="0.3">
      <c r="A94" s="217"/>
      <c r="B94" s="129"/>
      <c r="C94" s="223"/>
      <c r="D94" s="81" t="s">
        <v>1</v>
      </c>
      <c r="E94" s="88">
        <v>12500</v>
      </c>
      <c r="F94" s="88">
        <v>12500</v>
      </c>
      <c r="G94" s="88">
        <v>12500</v>
      </c>
      <c r="H94" s="88">
        <v>12500</v>
      </c>
      <c r="I94" s="88">
        <v>12500</v>
      </c>
      <c r="J94" s="88">
        <v>12500</v>
      </c>
      <c r="K94" s="88">
        <v>12500</v>
      </c>
      <c r="L94" s="88">
        <v>12500</v>
      </c>
      <c r="M94" s="88">
        <v>12500</v>
      </c>
      <c r="N94" s="88">
        <v>12500</v>
      </c>
      <c r="O94" s="88">
        <v>12500</v>
      </c>
      <c r="P94" s="88">
        <v>12500</v>
      </c>
      <c r="Q94" s="141">
        <f>SUM(E94:P94)</f>
        <v>150000</v>
      </c>
      <c r="R94" s="302"/>
      <c r="S94" s="109">
        <f>Q94/$Q$273</f>
        <v>9.3741211761397374E-3</v>
      </c>
    </row>
    <row r="95" spans="1:20" ht="15.75" hidden="1" outlineLevel="1" x14ac:dyDescent="0.25">
      <c r="A95" s="216" t="s">
        <v>145</v>
      </c>
      <c r="B95" s="213" t="s">
        <v>12</v>
      </c>
      <c r="C95" s="222" t="s">
        <v>48</v>
      </c>
      <c r="D95" s="77" t="s">
        <v>14</v>
      </c>
      <c r="E95" s="78">
        <v>1282.82</v>
      </c>
      <c r="F95" s="78">
        <v>1220.27</v>
      </c>
      <c r="G95" s="79">
        <v>1860.89</v>
      </c>
      <c r="H95" s="260">
        <v>4049.4434999999999</v>
      </c>
      <c r="I95" s="80">
        <v>4272.53</v>
      </c>
      <c r="J95" s="80">
        <v>420</v>
      </c>
      <c r="K95" s="80">
        <v>1462.36</v>
      </c>
      <c r="L95" s="80"/>
      <c r="M95" s="80"/>
      <c r="N95" s="80"/>
      <c r="O95" s="80"/>
      <c r="P95" s="80"/>
      <c r="Q95" s="90">
        <f>+SUM(E95:P95)</f>
        <v>14568.3135</v>
      </c>
      <c r="R95" s="301">
        <f>Q95/Q96</f>
        <v>0.26487842727272726</v>
      </c>
      <c r="S95" s="110">
        <v>0</v>
      </c>
    </row>
    <row r="96" spans="1:20" ht="16.5" hidden="1" outlineLevel="1" thickBot="1" x14ac:dyDescent="0.3">
      <c r="A96" s="217"/>
      <c r="B96" s="129"/>
      <c r="C96" s="223"/>
      <c r="D96" s="81" t="s">
        <v>1</v>
      </c>
      <c r="E96" s="88">
        <v>1000</v>
      </c>
      <c r="F96" s="88">
        <v>11000</v>
      </c>
      <c r="G96" s="88">
        <v>2000</v>
      </c>
      <c r="H96" s="88">
        <v>8000</v>
      </c>
      <c r="I96" s="88">
        <v>1500</v>
      </c>
      <c r="J96" s="88">
        <v>4000</v>
      </c>
      <c r="K96" s="88">
        <v>1500</v>
      </c>
      <c r="L96" s="88">
        <v>1500</v>
      </c>
      <c r="M96" s="88">
        <v>8000</v>
      </c>
      <c r="N96" s="88">
        <v>7500</v>
      </c>
      <c r="O96" s="88">
        <v>4500</v>
      </c>
      <c r="P96" s="88">
        <v>4500</v>
      </c>
      <c r="Q96" s="141">
        <f>SUM(E96:P96)</f>
        <v>55000</v>
      </c>
      <c r="R96" s="302"/>
      <c r="S96" s="109">
        <f>Q96/$Q$273</f>
        <v>3.4371777645845702E-3</v>
      </c>
    </row>
    <row r="97" spans="1:19" ht="15.75" hidden="1" outlineLevel="1" x14ac:dyDescent="0.25">
      <c r="A97" s="216" t="s">
        <v>145</v>
      </c>
      <c r="B97" s="213" t="s">
        <v>12</v>
      </c>
      <c r="C97" s="222" t="s">
        <v>149</v>
      </c>
      <c r="D97" s="77" t="s">
        <v>14</v>
      </c>
      <c r="E97" s="78"/>
      <c r="F97" s="78"/>
      <c r="G97" s="79"/>
      <c r="H97" s="260">
        <v>1725.1545000000001</v>
      </c>
      <c r="I97" s="80"/>
      <c r="J97" s="80"/>
      <c r="K97" s="80"/>
      <c r="L97" s="80"/>
      <c r="M97" s="80"/>
      <c r="N97" s="80"/>
      <c r="O97" s="80"/>
      <c r="P97" s="80"/>
      <c r="Q97" s="90">
        <f>+SUM(E97:P97)</f>
        <v>1725.1545000000001</v>
      </c>
      <c r="R97" s="301" t="e">
        <f>Q97/Q98</f>
        <v>#DIV/0!</v>
      </c>
      <c r="S97" s="110">
        <v>0</v>
      </c>
    </row>
    <row r="98" spans="1:19" ht="16.5" hidden="1" outlineLevel="1" thickBot="1" x14ac:dyDescent="0.3">
      <c r="A98" s="217"/>
      <c r="B98" s="129"/>
      <c r="C98" s="223"/>
      <c r="D98" s="81" t="s">
        <v>1</v>
      </c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141">
        <f>SUM(E98:P98)</f>
        <v>0</v>
      </c>
      <c r="R98" s="302"/>
      <c r="S98" s="109">
        <f>Q98/$Q$273</f>
        <v>0</v>
      </c>
    </row>
    <row r="99" spans="1:19" ht="15.75" hidden="1" outlineLevel="1" x14ac:dyDescent="0.25">
      <c r="A99" s="216" t="s">
        <v>145</v>
      </c>
      <c r="B99" s="213" t="s">
        <v>12</v>
      </c>
      <c r="C99" s="222" t="s">
        <v>32</v>
      </c>
      <c r="D99" s="77" t="s">
        <v>14</v>
      </c>
      <c r="E99" s="78">
        <v>10317</v>
      </c>
      <c r="F99" s="78">
        <v>8865</v>
      </c>
      <c r="G99" s="79">
        <v>3577.0450000000001</v>
      </c>
      <c r="H99" s="260">
        <v>8553.2726000000002</v>
      </c>
      <c r="I99" s="80">
        <v>5028.5</v>
      </c>
      <c r="J99" s="80">
        <v>5369.09</v>
      </c>
      <c r="K99" s="80">
        <v>6722.36</v>
      </c>
      <c r="L99" s="80"/>
      <c r="M99" s="80"/>
      <c r="N99" s="80"/>
      <c r="O99" s="80"/>
      <c r="P99" s="80"/>
      <c r="Q99" s="90">
        <f>+SUM(E99:P99)</f>
        <v>48432.267599999992</v>
      </c>
      <c r="R99" s="301">
        <f>Q99/Q100</f>
        <v>0.32288178399999995</v>
      </c>
      <c r="S99" s="110">
        <v>0</v>
      </c>
    </row>
    <row r="100" spans="1:19" ht="16.5" hidden="1" outlineLevel="1" thickBot="1" x14ac:dyDescent="0.3">
      <c r="A100" s="217"/>
      <c r="B100" s="129"/>
      <c r="C100" s="223"/>
      <c r="D100" s="81" t="s">
        <v>1</v>
      </c>
      <c r="E100" s="88">
        <v>12000</v>
      </c>
      <c r="F100" s="88">
        <v>12000</v>
      </c>
      <c r="G100" s="88">
        <v>12000</v>
      </c>
      <c r="H100" s="88">
        <v>12000</v>
      </c>
      <c r="I100" s="88">
        <v>12000</v>
      </c>
      <c r="J100" s="88">
        <v>12000</v>
      </c>
      <c r="K100" s="88">
        <v>12000</v>
      </c>
      <c r="L100" s="88">
        <v>12000</v>
      </c>
      <c r="M100" s="88">
        <v>15000</v>
      </c>
      <c r="N100" s="88">
        <v>12000</v>
      </c>
      <c r="O100" s="88">
        <v>12000</v>
      </c>
      <c r="P100" s="88">
        <v>15000</v>
      </c>
      <c r="Q100" s="141">
        <f>SUM(E100:P100)</f>
        <v>150000</v>
      </c>
      <c r="R100" s="302"/>
      <c r="S100" s="109">
        <f>Q100/$Q$273</f>
        <v>9.3741211761397374E-3</v>
      </c>
    </row>
    <row r="101" spans="1:19" ht="15.75" hidden="1" outlineLevel="1" x14ac:dyDescent="0.25">
      <c r="A101" s="216" t="s">
        <v>145</v>
      </c>
      <c r="B101" s="213" t="s">
        <v>12</v>
      </c>
      <c r="C101" s="222" t="s">
        <v>76</v>
      </c>
      <c r="D101" s="77" t="s">
        <v>14</v>
      </c>
      <c r="E101" s="78"/>
      <c r="F101" s="78"/>
      <c r="G101" s="79"/>
      <c r="H101" s="260"/>
      <c r="I101" s="80"/>
      <c r="J101" s="80"/>
      <c r="K101" s="80"/>
      <c r="L101" s="80"/>
      <c r="M101" s="80"/>
      <c r="N101" s="80"/>
      <c r="O101" s="80"/>
      <c r="P101" s="80"/>
      <c r="Q101" s="90">
        <f>+SUM(E101:P101)</f>
        <v>0</v>
      </c>
      <c r="R101" s="301">
        <f>Q101/Q102</f>
        <v>0</v>
      </c>
      <c r="S101" s="110">
        <v>0</v>
      </c>
    </row>
    <row r="102" spans="1:19" ht="16.5" hidden="1" outlineLevel="1" thickBot="1" x14ac:dyDescent="0.3">
      <c r="A102" s="217"/>
      <c r="B102" s="129"/>
      <c r="C102" s="223"/>
      <c r="D102" s="81" t="s">
        <v>1</v>
      </c>
      <c r="E102" s="88">
        <v>10000</v>
      </c>
      <c r="F102" s="88">
        <v>10000</v>
      </c>
      <c r="G102" s="88">
        <v>10000</v>
      </c>
      <c r="H102" s="88">
        <v>10000</v>
      </c>
      <c r="I102" s="88">
        <v>10000</v>
      </c>
      <c r="J102" s="88">
        <v>8000</v>
      </c>
      <c r="K102" s="88"/>
      <c r="L102" s="88">
        <v>8000</v>
      </c>
      <c r="M102" s="88">
        <v>10000</v>
      </c>
      <c r="N102" s="88">
        <v>10000</v>
      </c>
      <c r="O102" s="88">
        <v>10000</v>
      </c>
      <c r="P102" s="88">
        <v>10000</v>
      </c>
      <c r="Q102" s="141">
        <f>SUM(E102:P102)</f>
        <v>106000</v>
      </c>
      <c r="R102" s="302"/>
      <c r="S102" s="109">
        <f>Q102/$Q$273</f>
        <v>6.6243789644720805E-3</v>
      </c>
    </row>
    <row r="103" spans="1:19" ht="15.75" hidden="1" outlineLevel="1" x14ac:dyDescent="0.25">
      <c r="A103" s="216" t="s">
        <v>145</v>
      </c>
      <c r="B103" s="213" t="s">
        <v>12</v>
      </c>
      <c r="C103" s="218" t="s">
        <v>47</v>
      </c>
      <c r="D103" s="77" t="s">
        <v>14</v>
      </c>
      <c r="E103" s="78">
        <v>14553.46</v>
      </c>
      <c r="F103" s="78">
        <v>9163.5499999999993</v>
      </c>
      <c r="G103" s="79">
        <v>16428.14</v>
      </c>
      <c r="H103" s="260">
        <v>13946.279999999999</v>
      </c>
      <c r="I103" s="80">
        <v>7276.91</v>
      </c>
      <c r="J103" s="80">
        <v>4791.2299999999996</v>
      </c>
      <c r="K103" s="80">
        <v>7714.73</v>
      </c>
      <c r="L103" s="80"/>
      <c r="M103" s="80"/>
      <c r="N103" s="80"/>
      <c r="O103" s="80"/>
      <c r="P103" s="80"/>
      <c r="Q103" s="90">
        <f>+SUM(E103:P103)</f>
        <v>73874.299999999988</v>
      </c>
      <c r="R103" s="301">
        <f>Q103/Q104</f>
        <v>0.49249533333333323</v>
      </c>
      <c r="S103" s="110">
        <v>0</v>
      </c>
    </row>
    <row r="104" spans="1:19" ht="16.5" hidden="1" outlineLevel="1" thickBot="1" x14ac:dyDescent="0.3">
      <c r="A104" s="217"/>
      <c r="B104" s="129"/>
      <c r="C104" s="219"/>
      <c r="D104" s="81" t="s">
        <v>1</v>
      </c>
      <c r="E104" s="88">
        <v>12500</v>
      </c>
      <c r="F104" s="88">
        <v>12500</v>
      </c>
      <c r="G104" s="88">
        <v>12500</v>
      </c>
      <c r="H104" s="88">
        <v>12500</v>
      </c>
      <c r="I104" s="88">
        <v>12500</v>
      </c>
      <c r="J104" s="88">
        <v>12500</v>
      </c>
      <c r="K104" s="88">
        <v>12500</v>
      </c>
      <c r="L104" s="88">
        <v>12500</v>
      </c>
      <c r="M104" s="88">
        <v>12500</v>
      </c>
      <c r="N104" s="88">
        <v>12500</v>
      </c>
      <c r="O104" s="88">
        <v>12500</v>
      </c>
      <c r="P104" s="88">
        <v>12500</v>
      </c>
      <c r="Q104" s="141">
        <f>SUM(E104:P104)</f>
        <v>150000</v>
      </c>
      <c r="R104" s="302"/>
      <c r="S104" s="109">
        <f>Q104/$Q$273</f>
        <v>9.3741211761397374E-3</v>
      </c>
    </row>
    <row r="105" spans="1:19" ht="15.75" hidden="1" outlineLevel="1" x14ac:dyDescent="0.25">
      <c r="A105" s="216" t="s">
        <v>145</v>
      </c>
      <c r="B105" s="213" t="s">
        <v>12</v>
      </c>
      <c r="C105" s="222" t="s">
        <v>135</v>
      </c>
      <c r="D105" s="77" t="s">
        <v>14</v>
      </c>
      <c r="E105" s="78">
        <v>904</v>
      </c>
      <c r="F105" s="78">
        <v>1172.75</v>
      </c>
      <c r="G105" s="79"/>
      <c r="H105" s="260"/>
      <c r="I105" s="80"/>
      <c r="J105" s="80"/>
      <c r="K105" s="80"/>
      <c r="L105" s="80"/>
      <c r="M105" s="80"/>
      <c r="N105" s="80"/>
      <c r="O105" s="80"/>
      <c r="P105" s="80"/>
      <c r="Q105" s="90">
        <f>+SUM(E105:P105)</f>
        <v>2076.75</v>
      </c>
      <c r="R105" s="301">
        <f>Q105/Q106</f>
        <v>6.9224999999999995E-2</v>
      </c>
      <c r="S105" s="110">
        <v>0</v>
      </c>
    </row>
    <row r="106" spans="1:19" ht="16.5" hidden="1" outlineLevel="1" thickBot="1" x14ac:dyDescent="0.3">
      <c r="A106" s="217"/>
      <c r="B106" s="129"/>
      <c r="C106" s="219"/>
      <c r="D106" s="81" t="s">
        <v>1</v>
      </c>
      <c r="E106" s="102">
        <v>2500</v>
      </c>
      <c r="F106" s="102">
        <v>2500</v>
      </c>
      <c r="G106" s="102">
        <v>2500</v>
      </c>
      <c r="H106" s="102">
        <v>2500</v>
      </c>
      <c r="I106" s="102">
        <v>2500</v>
      </c>
      <c r="J106" s="102">
        <v>2500</v>
      </c>
      <c r="K106" s="102">
        <v>2500</v>
      </c>
      <c r="L106" s="102">
        <v>2500</v>
      </c>
      <c r="M106" s="102">
        <v>2500</v>
      </c>
      <c r="N106" s="102">
        <v>2500</v>
      </c>
      <c r="O106" s="102">
        <v>2500</v>
      </c>
      <c r="P106" s="102">
        <v>2500</v>
      </c>
      <c r="Q106" s="141">
        <f>SUM(E106:P106)</f>
        <v>30000</v>
      </c>
      <c r="R106" s="302"/>
      <c r="S106" s="109">
        <f>Q106/$Q$273</f>
        <v>1.8748242352279473E-3</v>
      </c>
    </row>
    <row r="107" spans="1:19" ht="15.75" hidden="1" outlineLevel="1" x14ac:dyDescent="0.25">
      <c r="A107" s="216" t="s">
        <v>145</v>
      </c>
      <c r="B107" s="213" t="s">
        <v>12</v>
      </c>
      <c r="C107" s="218" t="s">
        <v>75</v>
      </c>
      <c r="D107" s="77" t="s">
        <v>14</v>
      </c>
      <c r="E107" s="78">
        <v>2522</v>
      </c>
      <c r="F107" s="78">
        <v>3239.5</v>
      </c>
      <c r="G107" s="79">
        <v>5167</v>
      </c>
      <c r="H107" s="260">
        <v>3144.5</v>
      </c>
      <c r="I107" s="80">
        <v>6463.8644000000004</v>
      </c>
      <c r="J107" s="80">
        <v>7721</v>
      </c>
      <c r="K107" s="80">
        <v>6358</v>
      </c>
      <c r="L107" s="80"/>
      <c r="M107" s="80"/>
      <c r="N107" s="80"/>
      <c r="O107" s="80"/>
      <c r="P107" s="80"/>
      <c r="Q107" s="90">
        <f>+SUM(E107:P107)</f>
        <v>34615.864399999999</v>
      </c>
      <c r="R107" s="301">
        <f>Q107/Q108</f>
        <v>0.86539661000000001</v>
      </c>
      <c r="S107" s="110">
        <v>0</v>
      </c>
    </row>
    <row r="108" spans="1:19" ht="16.5" hidden="1" outlineLevel="1" thickBot="1" x14ac:dyDescent="0.3">
      <c r="A108" s="217"/>
      <c r="B108" s="129"/>
      <c r="C108" s="219"/>
      <c r="D108" s="81" t="s">
        <v>1</v>
      </c>
      <c r="E108" s="88">
        <v>3500</v>
      </c>
      <c r="F108" s="88">
        <v>3500</v>
      </c>
      <c r="G108" s="88">
        <v>3500</v>
      </c>
      <c r="H108" s="88">
        <v>3500</v>
      </c>
      <c r="I108" s="88">
        <v>3500</v>
      </c>
      <c r="J108" s="88">
        <v>3500</v>
      </c>
      <c r="K108" s="88">
        <v>3500</v>
      </c>
      <c r="L108" s="88">
        <v>3500</v>
      </c>
      <c r="M108" s="88">
        <v>3000</v>
      </c>
      <c r="N108" s="88">
        <v>3000</v>
      </c>
      <c r="O108" s="88">
        <v>3000</v>
      </c>
      <c r="P108" s="88">
        <v>3000</v>
      </c>
      <c r="Q108" s="141">
        <f>SUM(E108:P108)</f>
        <v>40000</v>
      </c>
      <c r="R108" s="302"/>
      <c r="S108" s="109">
        <f>Q108/$Q$273</f>
        <v>2.4997656469705966E-3</v>
      </c>
    </row>
    <row r="109" spans="1:19" ht="15.75" hidden="1" outlineLevel="1" x14ac:dyDescent="0.25">
      <c r="A109" s="216" t="s">
        <v>145</v>
      </c>
      <c r="B109" s="213" t="s">
        <v>12</v>
      </c>
      <c r="C109" s="222" t="s">
        <v>128</v>
      </c>
      <c r="D109" s="77" t="s">
        <v>14</v>
      </c>
      <c r="E109" s="78">
        <v>530</v>
      </c>
      <c r="F109" s="78">
        <v>4774.0200000000004</v>
      </c>
      <c r="G109" s="79">
        <v>1482</v>
      </c>
      <c r="H109" s="260">
        <v>404</v>
      </c>
      <c r="I109" s="80">
        <v>919.5</v>
      </c>
      <c r="J109" s="80"/>
      <c r="K109" s="80">
        <v>1026</v>
      </c>
      <c r="L109" s="80"/>
      <c r="M109" s="80"/>
      <c r="N109" s="80"/>
      <c r="O109" s="80"/>
      <c r="P109" s="80"/>
      <c r="Q109" s="90">
        <f>+SUM(E109:P109)</f>
        <v>9135.52</v>
      </c>
      <c r="R109" s="301">
        <f>Q109/Q110</f>
        <v>0.45677600000000002</v>
      </c>
      <c r="S109" s="110">
        <v>0</v>
      </c>
    </row>
    <row r="110" spans="1:19" ht="16.5" hidden="1" outlineLevel="1" thickBot="1" x14ac:dyDescent="0.3">
      <c r="A110" s="217"/>
      <c r="B110" s="129"/>
      <c r="C110" s="219"/>
      <c r="D110" s="81" t="s">
        <v>1</v>
      </c>
      <c r="E110" s="88">
        <v>1500</v>
      </c>
      <c r="F110" s="88">
        <v>1500</v>
      </c>
      <c r="G110" s="88">
        <v>1500</v>
      </c>
      <c r="H110" s="88">
        <v>2000</v>
      </c>
      <c r="I110" s="88">
        <v>1500</v>
      </c>
      <c r="J110" s="88">
        <v>1500</v>
      </c>
      <c r="K110" s="88">
        <v>1500</v>
      </c>
      <c r="L110" s="88">
        <v>1500</v>
      </c>
      <c r="M110" s="88">
        <v>2000</v>
      </c>
      <c r="N110" s="88">
        <v>1500</v>
      </c>
      <c r="O110" s="88">
        <v>2000</v>
      </c>
      <c r="P110" s="88">
        <v>2000</v>
      </c>
      <c r="Q110" s="141">
        <f>SUM(E110:P110)</f>
        <v>20000</v>
      </c>
      <c r="R110" s="302"/>
      <c r="S110" s="109">
        <f>Q110/$Q$273</f>
        <v>1.2498828234852983E-3</v>
      </c>
    </row>
    <row r="111" spans="1:19" ht="15.75" hidden="1" outlineLevel="1" x14ac:dyDescent="0.25">
      <c r="A111" s="216" t="s">
        <v>145</v>
      </c>
      <c r="B111" s="213" t="s">
        <v>12</v>
      </c>
      <c r="C111" s="218" t="s">
        <v>28</v>
      </c>
      <c r="D111" s="77" t="s">
        <v>14</v>
      </c>
      <c r="E111" s="78">
        <v>295.5</v>
      </c>
      <c r="F111" s="78">
        <v>4558.46</v>
      </c>
      <c r="G111" s="79">
        <v>1045.5</v>
      </c>
      <c r="H111" s="260">
        <v>5259.7909999999993</v>
      </c>
      <c r="I111" s="80">
        <v>2362.91</v>
      </c>
      <c r="J111" s="80">
        <v>2930</v>
      </c>
      <c r="K111" s="80">
        <v>5876</v>
      </c>
      <c r="L111" s="80"/>
      <c r="M111" s="80"/>
      <c r="N111" s="80"/>
      <c r="O111" s="80"/>
      <c r="P111" s="80"/>
      <c r="Q111" s="90">
        <f>+SUM(E111:P111)</f>
        <v>22328.161</v>
      </c>
      <c r="R111" s="301">
        <f>Q111/Q112</f>
        <v>0.55820402499999999</v>
      </c>
      <c r="S111" s="110">
        <v>0</v>
      </c>
    </row>
    <row r="112" spans="1:19" ht="16.5" hidden="1" outlineLevel="1" thickBot="1" x14ac:dyDescent="0.3">
      <c r="A112" s="217"/>
      <c r="B112" s="215"/>
      <c r="C112" s="219"/>
      <c r="D112" s="81" t="s">
        <v>1</v>
      </c>
      <c r="E112" s="88">
        <v>3500</v>
      </c>
      <c r="F112" s="88">
        <v>3500</v>
      </c>
      <c r="G112" s="88">
        <v>3500</v>
      </c>
      <c r="H112" s="88">
        <v>3500</v>
      </c>
      <c r="I112" s="88">
        <v>3500</v>
      </c>
      <c r="J112" s="88">
        <v>3500</v>
      </c>
      <c r="K112" s="88">
        <v>3500</v>
      </c>
      <c r="L112" s="88">
        <v>3500</v>
      </c>
      <c r="M112" s="88">
        <v>3000</v>
      </c>
      <c r="N112" s="88">
        <v>3000</v>
      </c>
      <c r="O112" s="88">
        <v>3000</v>
      </c>
      <c r="P112" s="88">
        <v>3000</v>
      </c>
      <c r="Q112" s="141">
        <f>SUM(E112:P112)</f>
        <v>40000</v>
      </c>
      <c r="R112" s="302"/>
      <c r="S112" s="109">
        <f>Q112/$Q$273</f>
        <v>2.4997656469705966E-3</v>
      </c>
    </row>
    <row r="113" spans="1:21" ht="15.75" hidden="1" outlineLevel="1" x14ac:dyDescent="0.25">
      <c r="A113" s="216" t="s">
        <v>145</v>
      </c>
      <c r="B113" s="214" t="s">
        <v>12</v>
      </c>
      <c r="C113" s="218" t="s">
        <v>93</v>
      </c>
      <c r="D113" s="77" t="s">
        <v>14</v>
      </c>
      <c r="E113" s="78">
        <v>24388.35</v>
      </c>
      <c r="F113" s="78">
        <v>25832.079999999998</v>
      </c>
      <c r="G113" s="79">
        <v>32879.977200000001</v>
      </c>
      <c r="H113" s="260">
        <v>41444.25</v>
      </c>
      <c r="I113" s="80">
        <v>22140.27</v>
      </c>
      <c r="J113" s="80">
        <v>47346.78</v>
      </c>
      <c r="K113" s="80">
        <v>80132.929999999993</v>
      </c>
      <c r="L113" s="80"/>
      <c r="M113" s="80"/>
      <c r="N113" s="80"/>
      <c r="O113" s="80"/>
      <c r="P113" s="80"/>
      <c r="Q113" s="90">
        <f>+SUM(E113:P113)</f>
        <v>274164.6372</v>
      </c>
      <c r="R113" s="301">
        <f>Q113/Q114</f>
        <v>0.72148588736842101</v>
      </c>
      <c r="S113" s="110">
        <v>0</v>
      </c>
    </row>
    <row r="114" spans="1:21" ht="16.5" hidden="1" outlineLevel="1" thickBot="1" x14ac:dyDescent="0.3">
      <c r="A114" s="217"/>
      <c r="B114" s="215"/>
      <c r="C114" s="219"/>
      <c r="D114" s="81" t="s">
        <v>1</v>
      </c>
      <c r="E114" s="88">
        <v>30000</v>
      </c>
      <c r="F114" s="88">
        <v>30000</v>
      </c>
      <c r="G114" s="88">
        <v>30000</v>
      </c>
      <c r="H114" s="88">
        <v>45000</v>
      </c>
      <c r="I114" s="88">
        <v>30000</v>
      </c>
      <c r="J114" s="88">
        <v>30000</v>
      </c>
      <c r="K114" s="88">
        <v>25000</v>
      </c>
      <c r="L114" s="88">
        <v>40000</v>
      </c>
      <c r="M114" s="88">
        <v>30000</v>
      </c>
      <c r="N114" s="88">
        <v>30000</v>
      </c>
      <c r="O114" s="88">
        <v>30000</v>
      </c>
      <c r="P114" s="88">
        <v>30000</v>
      </c>
      <c r="Q114" s="141">
        <f>SUM(E114:P114)</f>
        <v>380000</v>
      </c>
      <c r="R114" s="302"/>
      <c r="S114" s="109">
        <f>Q114/$Q$273</f>
        <v>2.3747773646220667E-2</v>
      </c>
    </row>
    <row r="115" spans="1:21" ht="15.75" hidden="1" outlineLevel="1" x14ac:dyDescent="0.25">
      <c r="A115" s="216" t="s">
        <v>145</v>
      </c>
      <c r="B115" s="214" t="s">
        <v>12</v>
      </c>
      <c r="C115" s="218" t="s">
        <v>92</v>
      </c>
      <c r="D115" s="77" t="s">
        <v>14</v>
      </c>
      <c r="E115" s="78">
        <v>1058</v>
      </c>
      <c r="F115" s="78">
        <v>270</v>
      </c>
      <c r="G115" s="79">
        <v>1373</v>
      </c>
      <c r="H115" s="260">
        <v>1976</v>
      </c>
      <c r="I115" s="80">
        <v>3814</v>
      </c>
      <c r="J115" s="80">
        <v>1739</v>
      </c>
      <c r="K115" s="80">
        <v>1785</v>
      </c>
      <c r="L115" s="80"/>
      <c r="M115" s="80"/>
      <c r="N115" s="80"/>
      <c r="O115" s="80"/>
      <c r="P115" s="80"/>
      <c r="Q115" s="90">
        <f>+SUM(E115:P115)</f>
        <v>12015</v>
      </c>
      <c r="R115" s="301">
        <f>Q115/Q116</f>
        <v>0.16020000000000001</v>
      </c>
      <c r="S115" s="110">
        <v>0</v>
      </c>
    </row>
    <row r="116" spans="1:21" ht="16.5" hidden="1" outlineLevel="1" thickBot="1" x14ac:dyDescent="0.3">
      <c r="A116" s="217"/>
      <c r="B116" s="215"/>
      <c r="C116" s="219"/>
      <c r="D116" s="81" t="s">
        <v>1</v>
      </c>
      <c r="E116" s="88">
        <v>0</v>
      </c>
      <c r="F116" s="88">
        <v>5000</v>
      </c>
      <c r="G116" s="88">
        <v>0</v>
      </c>
      <c r="H116" s="88">
        <v>5000</v>
      </c>
      <c r="I116" s="88">
        <v>0</v>
      </c>
      <c r="J116" s="88">
        <v>0</v>
      </c>
      <c r="K116" s="88">
        <v>0</v>
      </c>
      <c r="L116" s="88">
        <v>5000</v>
      </c>
      <c r="M116" s="88"/>
      <c r="N116" s="88">
        <v>30000</v>
      </c>
      <c r="O116" s="88">
        <v>10000</v>
      </c>
      <c r="P116" s="88">
        <v>20000</v>
      </c>
      <c r="Q116" s="141">
        <f>SUM(E116:P116)</f>
        <v>75000</v>
      </c>
      <c r="R116" s="302"/>
      <c r="S116" s="109">
        <f>Q116/$Q$273</f>
        <v>4.6870605880698687E-3</v>
      </c>
    </row>
    <row r="117" spans="1:21" ht="15.75" hidden="1" outlineLevel="1" x14ac:dyDescent="0.25">
      <c r="A117" s="216" t="s">
        <v>145</v>
      </c>
      <c r="B117" s="214" t="s">
        <v>23</v>
      </c>
      <c r="C117" s="222" t="s">
        <v>158</v>
      </c>
      <c r="D117" s="77" t="s">
        <v>14</v>
      </c>
      <c r="E117" s="78">
        <v>23315.01</v>
      </c>
      <c r="F117" s="78">
        <v>55529.94</v>
      </c>
      <c r="G117" s="79">
        <v>31151.64</v>
      </c>
      <c r="H117" s="260">
        <v>16256.3</v>
      </c>
      <c r="I117" s="80">
        <v>12957.28</v>
      </c>
      <c r="J117" s="80">
        <v>3495.42</v>
      </c>
      <c r="K117" s="80">
        <v>11467.5</v>
      </c>
      <c r="L117" s="80"/>
      <c r="M117" s="80"/>
      <c r="N117" s="80"/>
      <c r="O117" s="80"/>
      <c r="P117" s="80"/>
      <c r="Q117" s="90">
        <f>+SUM(E117:P117)</f>
        <v>154173.09000000003</v>
      </c>
      <c r="R117" s="313">
        <f>Q117/Q119</f>
        <v>0.81143731578947387</v>
      </c>
      <c r="S117" s="110">
        <v>0</v>
      </c>
    </row>
    <row r="118" spans="1:21" ht="15.75" hidden="1" outlineLevel="1" x14ac:dyDescent="0.25">
      <c r="A118" s="217"/>
      <c r="B118" s="129"/>
      <c r="C118" s="223"/>
      <c r="D118" s="84" t="s">
        <v>25</v>
      </c>
      <c r="E118" s="144"/>
      <c r="F118" s="145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91">
        <f>SUM(E118:P118)</f>
        <v>0</v>
      </c>
      <c r="R118" s="314"/>
      <c r="S118" s="109"/>
    </row>
    <row r="119" spans="1:21" ht="16.5" hidden="1" outlineLevel="1" thickBot="1" x14ac:dyDescent="0.3">
      <c r="A119" s="217"/>
      <c r="B119" s="129"/>
      <c r="C119" s="223"/>
      <c r="D119" s="81" t="s">
        <v>1</v>
      </c>
      <c r="E119" s="118">
        <v>16000</v>
      </c>
      <c r="F119" s="118">
        <v>16000</v>
      </c>
      <c r="G119" s="118">
        <v>16000</v>
      </c>
      <c r="H119" s="118">
        <v>16000</v>
      </c>
      <c r="I119" s="118">
        <v>16000</v>
      </c>
      <c r="J119" s="118">
        <v>16000</v>
      </c>
      <c r="K119" s="118">
        <v>14000</v>
      </c>
      <c r="L119" s="118">
        <v>16000</v>
      </c>
      <c r="M119" s="118">
        <v>16000</v>
      </c>
      <c r="N119" s="118">
        <v>16000</v>
      </c>
      <c r="O119" s="118">
        <v>16000</v>
      </c>
      <c r="P119" s="118">
        <v>16000</v>
      </c>
      <c r="Q119" s="119">
        <f>SUM(E119:P119)</f>
        <v>190000</v>
      </c>
      <c r="R119" s="314"/>
      <c r="S119" s="109">
        <f>Q119/$Q$273</f>
        <v>1.1873886823110334E-2</v>
      </c>
      <c r="U119" s="130"/>
    </row>
    <row r="120" spans="1:21" ht="17.25" collapsed="1" thickTop="1" thickBot="1" x14ac:dyDescent="0.25">
      <c r="A120" s="226" t="s">
        <v>145</v>
      </c>
      <c r="B120" s="228" t="s">
        <v>0</v>
      </c>
      <c r="C120" s="226" t="s">
        <v>0</v>
      </c>
      <c r="D120" s="56" t="s">
        <v>14</v>
      </c>
      <c r="E120" s="89">
        <f>SUM(E118,E117,E115,E113,E111,E109,E107,E105,E103,E101,E99,E97,E95,E93,E91,E89,E87)</f>
        <v>117970.34000000001</v>
      </c>
      <c r="F120" s="89">
        <f t="shared" ref="F120:Q120" si="16">SUM(F118,F117,F115,F113,F111,F109,F107,F105,F103,F101,F99,F97,F95,F93,F91,F89,F87)</f>
        <v>159084.23000000004</v>
      </c>
      <c r="G120" s="89">
        <f t="shared" si="16"/>
        <v>134223.9204</v>
      </c>
      <c r="H120" s="89">
        <f t="shared" si="16"/>
        <v>131545.63159999999</v>
      </c>
      <c r="I120" s="89">
        <f t="shared" si="16"/>
        <v>104999.1609</v>
      </c>
      <c r="J120" s="89">
        <f t="shared" si="16"/>
        <v>93826.78</v>
      </c>
      <c r="K120" s="89">
        <f t="shared" si="16"/>
        <v>161547.63</v>
      </c>
      <c r="L120" s="89">
        <f t="shared" si="16"/>
        <v>0</v>
      </c>
      <c r="M120" s="89">
        <f t="shared" si="16"/>
        <v>0</v>
      </c>
      <c r="N120" s="89">
        <f t="shared" si="16"/>
        <v>0</v>
      </c>
      <c r="O120" s="89">
        <f t="shared" si="16"/>
        <v>0</v>
      </c>
      <c r="P120" s="89">
        <f t="shared" si="16"/>
        <v>0</v>
      </c>
      <c r="Q120" s="89">
        <f t="shared" si="16"/>
        <v>903197.69290000002</v>
      </c>
      <c r="R120" s="315">
        <f>Q120/Q121</f>
        <v>0.52926908461763844</v>
      </c>
      <c r="S120" s="110">
        <v>0</v>
      </c>
      <c r="T120" s="130"/>
    </row>
    <row r="121" spans="1:21" ht="17.25" thickTop="1" thickBot="1" x14ac:dyDescent="0.3">
      <c r="A121" s="227"/>
      <c r="B121" s="229"/>
      <c r="C121" s="227"/>
      <c r="D121" s="64" t="s">
        <v>143</v>
      </c>
      <c r="E121" s="7">
        <f>SUM(E119+E116+E114+E112+E110+E108+E106+E104+E102+E100+E98+E96+E94+E92+E90+E88)</f>
        <v>138500</v>
      </c>
      <c r="F121" s="7">
        <f t="shared" ref="F121:P121" si="17">SUM(F119+F116+F114+F112+F110+F108+F106+F104+F102+F100+F98+F96+F94+F92+F90+F88)</f>
        <v>153000</v>
      </c>
      <c r="G121" s="7">
        <f t="shared" si="17"/>
        <v>137000</v>
      </c>
      <c r="H121" s="7">
        <f t="shared" si="17"/>
        <v>158500</v>
      </c>
      <c r="I121" s="7">
        <f t="shared" si="17"/>
        <v>131500</v>
      </c>
      <c r="J121" s="7">
        <f t="shared" si="17"/>
        <v>128000</v>
      </c>
      <c r="K121" s="7">
        <f t="shared" si="17"/>
        <v>112500</v>
      </c>
      <c r="L121" s="7">
        <f t="shared" si="17"/>
        <v>142500</v>
      </c>
      <c r="M121" s="7">
        <f t="shared" si="17"/>
        <v>137000</v>
      </c>
      <c r="N121" s="7">
        <f t="shared" si="17"/>
        <v>166500</v>
      </c>
      <c r="O121" s="7">
        <f t="shared" si="17"/>
        <v>143500</v>
      </c>
      <c r="P121" s="7">
        <f t="shared" si="17"/>
        <v>158000</v>
      </c>
      <c r="Q121" s="7">
        <f>SUM(Q88,Q90,Q92,Q94,Q96,Q98,Q100,Q102,Q104,Q106,Q108,Q110,Q119,Q112,Q114,Q116)</f>
        <v>1706500</v>
      </c>
      <c r="R121" s="315"/>
      <c r="S121" s="109">
        <f>Q121/$Q$273</f>
        <v>0.10664625191388308</v>
      </c>
    </row>
    <row r="122" spans="1:21" ht="17.25" thickTop="1" thickBot="1" x14ac:dyDescent="0.3">
      <c r="A122" s="227"/>
      <c r="B122" s="229"/>
      <c r="C122" s="227"/>
      <c r="D122" s="57" t="s">
        <v>2</v>
      </c>
      <c r="E122" s="8">
        <f>E120/E121</f>
        <v>0.85177140794223838</v>
      </c>
      <c r="F122" s="8">
        <v>0.9042606849315068</v>
      </c>
      <c r="G122" s="8">
        <f t="shared" ref="G122:P122" si="18">G120/G121</f>
        <v>0.97973664525547444</v>
      </c>
      <c r="H122" s="8">
        <f t="shared" si="18"/>
        <v>0.82994089337539423</v>
      </c>
      <c r="I122" s="8">
        <f t="shared" si="18"/>
        <v>0.79847270646387836</v>
      </c>
      <c r="J122" s="8">
        <f t="shared" si="18"/>
        <v>0.73302171875</v>
      </c>
      <c r="K122" s="8">
        <f t="shared" si="18"/>
        <v>1.4359789333333335</v>
      </c>
      <c r="L122" s="8">
        <f t="shared" si="18"/>
        <v>0</v>
      </c>
      <c r="M122" s="8">
        <f t="shared" si="18"/>
        <v>0</v>
      </c>
      <c r="N122" s="8">
        <f t="shared" si="18"/>
        <v>0</v>
      </c>
      <c r="O122" s="8">
        <f t="shared" si="18"/>
        <v>0</v>
      </c>
      <c r="P122" s="8">
        <f t="shared" si="18"/>
        <v>0</v>
      </c>
      <c r="Q122" s="46">
        <f>Q120/Q121</f>
        <v>0.52926908461763844</v>
      </c>
      <c r="R122" s="315"/>
      <c r="S122" s="103"/>
    </row>
    <row r="123" spans="1:21" ht="17.25" thickTop="1" thickBot="1" x14ac:dyDescent="0.3">
      <c r="A123" s="227"/>
      <c r="B123" s="229"/>
      <c r="C123" s="227"/>
      <c r="D123" s="65" t="s">
        <v>3</v>
      </c>
      <c r="E123" s="10">
        <f t="shared" ref="E123" si="19">E120-E121</f>
        <v>-20529.659999999989</v>
      </c>
      <c r="F123" s="10">
        <v>-13977.940000000002</v>
      </c>
      <c r="G123" s="10">
        <f t="shared" ref="G123:P123" si="20">G120-G121</f>
        <v>-2776.0795999999973</v>
      </c>
      <c r="H123" s="10">
        <f t="shared" si="20"/>
        <v>-26954.368400000007</v>
      </c>
      <c r="I123" s="10">
        <f t="shared" si="20"/>
        <v>-26500.839099999997</v>
      </c>
      <c r="J123" s="10">
        <f t="shared" si="20"/>
        <v>-34173.22</v>
      </c>
      <c r="K123" s="10">
        <f t="shared" si="20"/>
        <v>49047.630000000005</v>
      </c>
      <c r="L123" s="10">
        <f t="shared" si="20"/>
        <v>-142500</v>
      </c>
      <c r="M123" s="10">
        <f t="shared" si="20"/>
        <v>-137000</v>
      </c>
      <c r="N123" s="10">
        <f t="shared" si="20"/>
        <v>-166500</v>
      </c>
      <c r="O123" s="10">
        <f t="shared" si="20"/>
        <v>-143500</v>
      </c>
      <c r="P123" s="10">
        <f t="shared" si="20"/>
        <v>-158000</v>
      </c>
      <c r="Q123" s="47">
        <f>Q120-Q121</f>
        <v>-803302.30709999998</v>
      </c>
      <c r="R123" s="315"/>
      <c r="S123" s="104"/>
    </row>
    <row r="124" spans="1:21" ht="16.5" thickBot="1" x14ac:dyDescent="0.3">
      <c r="A124" s="227"/>
      <c r="B124" s="229"/>
      <c r="C124" s="227"/>
      <c r="D124" s="66" t="s">
        <v>4</v>
      </c>
      <c r="E124" s="9">
        <f t="shared" ref="E124" si="21">E123/E120</f>
        <v>-0.1740239114340095</v>
      </c>
      <c r="F124" s="9">
        <v>-0.10587579075799911</v>
      </c>
      <c r="G124" s="9">
        <f t="shared" ref="G124:P124" si="22">G123/G120</f>
        <v>-2.0682450577564841E-2</v>
      </c>
      <c r="H124" s="9">
        <f t="shared" si="22"/>
        <v>-0.20490508177392042</v>
      </c>
      <c r="I124" s="9">
        <f t="shared" si="22"/>
        <v>-0.25239096077385886</v>
      </c>
      <c r="J124" s="9">
        <f t="shared" si="22"/>
        <v>-0.36421605857091122</v>
      </c>
      <c r="K124" s="9">
        <f t="shared" si="22"/>
        <v>0.30361095362401791</v>
      </c>
      <c r="L124" s="9" t="e">
        <f t="shared" si="22"/>
        <v>#DIV/0!</v>
      </c>
      <c r="M124" s="9" t="e">
        <f t="shared" si="22"/>
        <v>#DIV/0!</v>
      </c>
      <c r="N124" s="9" t="e">
        <f t="shared" si="22"/>
        <v>#DIV/0!</v>
      </c>
      <c r="O124" s="9" t="e">
        <f t="shared" si="22"/>
        <v>#DIV/0!</v>
      </c>
      <c r="P124" s="9" t="e">
        <f t="shared" si="22"/>
        <v>#DIV/0!</v>
      </c>
      <c r="Q124" s="48">
        <f>Q123/Q120</f>
        <v>-0.88939809458629759</v>
      </c>
      <c r="R124" s="18"/>
      <c r="S124" s="105"/>
    </row>
    <row r="125" spans="1:21" ht="15.75" thickBot="1" x14ac:dyDescent="0.25">
      <c r="A125" s="6"/>
      <c r="B125" s="6"/>
      <c r="C125" s="75"/>
      <c r="D125" s="67" t="s">
        <v>26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40"/>
      <c r="Q125" s="67"/>
      <c r="R125" s="36"/>
      <c r="S125" s="106"/>
    </row>
    <row r="126" spans="1:21" ht="15.75" hidden="1" outlineLevel="1" x14ac:dyDescent="0.25">
      <c r="A126" s="216" t="s">
        <v>146</v>
      </c>
      <c r="B126" s="213" t="s">
        <v>12</v>
      </c>
      <c r="C126" s="218" t="s">
        <v>113</v>
      </c>
      <c r="D126" s="77" t="s">
        <v>14</v>
      </c>
      <c r="E126" s="78">
        <v>10811.1</v>
      </c>
      <c r="F126" s="78">
        <v>29357.48</v>
      </c>
      <c r="G126" s="79">
        <v>30492.63</v>
      </c>
      <c r="H126" s="260">
        <v>5768</v>
      </c>
      <c r="I126" s="80">
        <v>2090</v>
      </c>
      <c r="J126" s="80">
        <v>2495</v>
      </c>
      <c r="K126" s="80">
        <v>5854.59</v>
      </c>
      <c r="L126" s="80"/>
      <c r="M126" s="122"/>
      <c r="N126" s="122"/>
      <c r="O126" s="122"/>
      <c r="P126" s="122"/>
      <c r="Q126" s="90">
        <f>+SUM(E126:P126)</f>
        <v>86868.800000000003</v>
      </c>
      <c r="R126" s="301">
        <f>Q126/Q127</f>
        <v>0.96520888888888889</v>
      </c>
      <c r="S126" s="110">
        <v>0</v>
      </c>
    </row>
    <row r="127" spans="1:21" ht="16.5" hidden="1" outlineLevel="1" thickBot="1" x14ac:dyDescent="0.3">
      <c r="A127" s="217"/>
      <c r="B127" s="129"/>
      <c r="C127" s="225"/>
      <c r="D127" s="81" t="s">
        <v>1</v>
      </c>
      <c r="E127" s="82">
        <v>6000</v>
      </c>
      <c r="F127" s="82">
        <v>10000</v>
      </c>
      <c r="G127" s="82">
        <v>10000</v>
      </c>
      <c r="H127" s="82">
        <v>12500</v>
      </c>
      <c r="I127" s="82">
        <v>10500</v>
      </c>
      <c r="J127" s="82">
        <v>7000</v>
      </c>
      <c r="K127" s="82">
        <v>5000</v>
      </c>
      <c r="L127" s="82">
        <v>5500</v>
      </c>
      <c r="M127" s="82">
        <v>5500</v>
      </c>
      <c r="N127" s="82">
        <v>7000</v>
      </c>
      <c r="O127" s="82">
        <v>5500</v>
      </c>
      <c r="P127" s="82">
        <v>5500</v>
      </c>
      <c r="Q127" s="141">
        <f>SUM(E127:P127)</f>
        <v>90000</v>
      </c>
      <c r="R127" s="302"/>
      <c r="S127" s="109">
        <f>Q127/$Q$273</f>
        <v>5.6244727056838422E-3</v>
      </c>
    </row>
    <row r="128" spans="1:21" ht="15.75" hidden="1" outlineLevel="1" x14ac:dyDescent="0.25">
      <c r="A128" s="216" t="s">
        <v>146</v>
      </c>
      <c r="B128" s="213" t="s">
        <v>12</v>
      </c>
      <c r="C128" s="222" t="s">
        <v>164</v>
      </c>
      <c r="D128" s="77" t="s">
        <v>14</v>
      </c>
      <c r="E128" s="78"/>
      <c r="F128" s="78"/>
      <c r="G128" s="79"/>
      <c r="H128" s="260">
        <v>2109.14</v>
      </c>
      <c r="I128" s="80">
        <v>1724.5</v>
      </c>
      <c r="J128" s="80">
        <v>1886</v>
      </c>
      <c r="K128" s="80">
        <v>264</v>
      </c>
      <c r="L128" s="80"/>
      <c r="M128" s="80"/>
      <c r="N128" s="80"/>
      <c r="O128" s="80"/>
      <c r="P128" s="80"/>
      <c r="Q128" s="90">
        <f>+SUM(E128:P128)</f>
        <v>5983.6399999999994</v>
      </c>
      <c r="R128" s="301">
        <f>Q128/Q129</f>
        <v>0.19945466666666664</v>
      </c>
      <c r="S128" s="110">
        <v>0</v>
      </c>
    </row>
    <row r="129" spans="1:21" ht="16.5" hidden="1" outlineLevel="1" thickBot="1" x14ac:dyDescent="0.3">
      <c r="A129" s="217"/>
      <c r="B129" s="129"/>
      <c r="C129" s="223"/>
      <c r="D129" s="137" t="s">
        <v>1</v>
      </c>
      <c r="E129" s="88">
        <v>2500</v>
      </c>
      <c r="F129" s="88">
        <v>2500</v>
      </c>
      <c r="G129" s="88">
        <v>2500</v>
      </c>
      <c r="H129" s="88">
        <v>2500</v>
      </c>
      <c r="I129" s="88">
        <v>2500</v>
      </c>
      <c r="J129" s="88">
        <v>2500</v>
      </c>
      <c r="K129" s="88">
        <v>2500</v>
      </c>
      <c r="L129" s="88">
        <v>2500</v>
      </c>
      <c r="M129" s="88">
        <v>2500</v>
      </c>
      <c r="N129" s="88">
        <v>2500</v>
      </c>
      <c r="O129" s="88">
        <v>2500</v>
      </c>
      <c r="P129" s="88">
        <v>2500</v>
      </c>
      <c r="Q129" s="141">
        <f>SUM(E129:P129)</f>
        <v>30000</v>
      </c>
      <c r="R129" s="302"/>
      <c r="S129" s="109">
        <f>Q129/$Q$273</f>
        <v>1.8748242352279473E-3</v>
      </c>
    </row>
    <row r="130" spans="1:21" ht="15.75" hidden="1" outlineLevel="1" x14ac:dyDescent="0.25">
      <c r="A130" s="216" t="s">
        <v>146</v>
      </c>
      <c r="B130" s="213" t="s">
        <v>12</v>
      </c>
      <c r="C130" s="222" t="s">
        <v>147</v>
      </c>
      <c r="D130" s="77" t="s">
        <v>14</v>
      </c>
      <c r="E130" s="78"/>
      <c r="F130" s="78"/>
      <c r="G130" s="79"/>
      <c r="H130" s="260">
        <v>1082</v>
      </c>
      <c r="I130" s="80">
        <v>1987</v>
      </c>
      <c r="J130" s="80"/>
      <c r="K130" s="80">
        <v>872</v>
      </c>
      <c r="L130" s="80"/>
      <c r="M130" s="80"/>
      <c r="N130" s="80"/>
      <c r="O130" s="80"/>
      <c r="P130" s="80"/>
      <c r="Q130" s="90">
        <f>+SUM(E130:P130)</f>
        <v>3941</v>
      </c>
      <c r="R130" s="301">
        <f>Q130/Q131</f>
        <v>0.13136666666666666</v>
      </c>
      <c r="S130" s="110">
        <v>0</v>
      </c>
    </row>
    <row r="131" spans="1:21" ht="16.5" hidden="1" outlineLevel="1" thickBot="1" x14ac:dyDescent="0.3">
      <c r="A131" s="217"/>
      <c r="B131" s="129"/>
      <c r="C131" s="223"/>
      <c r="D131" s="137" t="s">
        <v>1</v>
      </c>
      <c r="E131" s="88">
        <v>2500</v>
      </c>
      <c r="F131" s="88">
        <v>2500</v>
      </c>
      <c r="G131" s="88">
        <v>2500</v>
      </c>
      <c r="H131" s="88">
        <v>2500</v>
      </c>
      <c r="I131" s="88">
        <v>2500</v>
      </c>
      <c r="J131" s="88">
        <v>2500</v>
      </c>
      <c r="K131" s="88">
        <v>2500</v>
      </c>
      <c r="L131" s="88">
        <v>2500</v>
      </c>
      <c r="M131" s="88">
        <v>2500</v>
      </c>
      <c r="N131" s="88">
        <v>2500</v>
      </c>
      <c r="O131" s="88">
        <v>2500</v>
      </c>
      <c r="P131" s="88">
        <v>2500</v>
      </c>
      <c r="Q131" s="141">
        <f>SUM(E131:P131)</f>
        <v>30000</v>
      </c>
      <c r="R131" s="302"/>
      <c r="S131" s="109">
        <f>Q131/$Q$273</f>
        <v>1.8748242352279473E-3</v>
      </c>
    </row>
    <row r="132" spans="1:21" ht="15.75" hidden="1" outlineLevel="1" x14ac:dyDescent="0.25">
      <c r="A132" s="216" t="s">
        <v>146</v>
      </c>
      <c r="B132" s="213" t="s">
        <v>12</v>
      </c>
      <c r="C132" s="222" t="s">
        <v>165</v>
      </c>
      <c r="D132" s="77" t="s">
        <v>14</v>
      </c>
      <c r="E132" s="78"/>
      <c r="F132" s="78"/>
      <c r="G132" s="79"/>
      <c r="H132" s="260">
        <v>817</v>
      </c>
      <c r="I132" s="80">
        <v>484.71</v>
      </c>
      <c r="J132" s="80">
        <v>232</v>
      </c>
      <c r="K132" s="80"/>
      <c r="L132" s="80"/>
      <c r="M132" s="80"/>
      <c r="N132" s="80"/>
      <c r="O132" s="80"/>
      <c r="P132" s="80"/>
      <c r="Q132" s="90">
        <f>+SUM(E132:P132)</f>
        <v>1533.71</v>
      </c>
      <c r="R132" s="301">
        <f>Q132/Q133</f>
        <v>3.8342750000000002E-2</v>
      </c>
      <c r="S132" s="110">
        <v>0</v>
      </c>
    </row>
    <row r="133" spans="1:21" ht="16.5" hidden="1" outlineLevel="1" thickBot="1" x14ac:dyDescent="0.3">
      <c r="A133" s="217"/>
      <c r="B133" s="129"/>
      <c r="C133" s="223"/>
      <c r="D133" s="81" t="s">
        <v>1</v>
      </c>
      <c r="E133" s="88">
        <v>4000</v>
      </c>
      <c r="F133" s="88">
        <v>4000</v>
      </c>
      <c r="G133" s="88">
        <v>4000</v>
      </c>
      <c r="H133" s="88">
        <v>4000</v>
      </c>
      <c r="I133" s="88">
        <v>2500</v>
      </c>
      <c r="J133" s="88">
        <v>2500</v>
      </c>
      <c r="K133" s="88">
        <v>2500</v>
      </c>
      <c r="L133" s="88">
        <v>4000</v>
      </c>
      <c r="M133" s="88">
        <v>2500</v>
      </c>
      <c r="N133" s="88">
        <v>3500</v>
      </c>
      <c r="O133" s="88">
        <v>4000</v>
      </c>
      <c r="P133" s="88">
        <v>2500</v>
      </c>
      <c r="Q133" s="141">
        <f>SUM(E133:P133)</f>
        <v>40000</v>
      </c>
      <c r="R133" s="302"/>
      <c r="S133" s="109">
        <f>Q133/$Q$273</f>
        <v>2.4997656469705966E-3</v>
      </c>
    </row>
    <row r="134" spans="1:21" ht="15.75" hidden="1" outlineLevel="1" x14ac:dyDescent="0.25">
      <c r="A134" s="216" t="s">
        <v>146</v>
      </c>
      <c r="B134" s="213" t="s">
        <v>12</v>
      </c>
      <c r="C134" s="222" t="s">
        <v>148</v>
      </c>
      <c r="D134" s="77" t="s">
        <v>14</v>
      </c>
      <c r="E134" s="78"/>
      <c r="F134" s="78"/>
      <c r="G134" s="79"/>
      <c r="H134" s="260">
        <v>196</v>
      </c>
      <c r="I134" s="80"/>
      <c r="J134" s="80">
        <v>2757</v>
      </c>
      <c r="K134" s="80"/>
      <c r="L134" s="80"/>
      <c r="M134" s="80"/>
      <c r="N134" s="80"/>
      <c r="O134" s="80"/>
      <c r="P134" s="80"/>
      <c r="Q134" s="90">
        <f>+SUM(E134:P134)</f>
        <v>2953</v>
      </c>
      <c r="R134" s="301">
        <f>Q134/Q135</f>
        <v>7.3825000000000002E-2</v>
      </c>
      <c r="S134" s="110">
        <v>0</v>
      </c>
    </row>
    <row r="135" spans="1:21" ht="16.5" hidden="1" outlineLevel="1" thickBot="1" x14ac:dyDescent="0.3">
      <c r="A135" s="217"/>
      <c r="B135" s="129"/>
      <c r="C135" s="223"/>
      <c r="D135" s="81" t="s">
        <v>1</v>
      </c>
      <c r="E135" s="88">
        <v>3000</v>
      </c>
      <c r="F135" s="88">
        <v>3000</v>
      </c>
      <c r="G135" s="88">
        <v>3000</v>
      </c>
      <c r="H135" s="88">
        <v>3500</v>
      </c>
      <c r="I135" s="88">
        <v>3500</v>
      </c>
      <c r="J135" s="88">
        <v>2500</v>
      </c>
      <c r="K135" s="88">
        <v>3500</v>
      </c>
      <c r="L135" s="88">
        <v>3500</v>
      </c>
      <c r="M135" s="88">
        <v>2500</v>
      </c>
      <c r="N135" s="88">
        <v>3000</v>
      </c>
      <c r="O135" s="88">
        <v>3000</v>
      </c>
      <c r="P135" s="88">
        <v>6000</v>
      </c>
      <c r="Q135" s="141">
        <f>SUM(E135:P135)</f>
        <v>40000</v>
      </c>
      <c r="R135" s="302"/>
      <c r="S135" s="109">
        <f>Q135/$Q$273</f>
        <v>2.4997656469705966E-3</v>
      </c>
    </row>
    <row r="136" spans="1:21" ht="15.75" hidden="1" outlineLevel="1" x14ac:dyDescent="0.25">
      <c r="A136" s="216" t="s">
        <v>146</v>
      </c>
      <c r="B136" s="213" t="s">
        <v>12</v>
      </c>
      <c r="C136" s="218" t="s">
        <v>96</v>
      </c>
      <c r="D136" s="77" t="s">
        <v>14</v>
      </c>
      <c r="E136" s="78">
        <v>10140.58</v>
      </c>
      <c r="F136" s="78">
        <v>18469</v>
      </c>
      <c r="G136" s="79">
        <v>8439.5</v>
      </c>
      <c r="H136" s="260">
        <v>5023</v>
      </c>
      <c r="I136" s="80">
        <v>1488</v>
      </c>
      <c r="J136" s="80">
        <v>3982</v>
      </c>
      <c r="K136" s="80">
        <v>8078</v>
      </c>
      <c r="L136" s="80"/>
      <c r="M136" s="80"/>
      <c r="N136" s="80"/>
      <c r="O136" s="80"/>
      <c r="P136" s="80"/>
      <c r="Q136" s="90">
        <f>+SUM(E136:P136)</f>
        <v>55620.08</v>
      </c>
      <c r="R136" s="301">
        <f>Q136/Q137</f>
        <v>0.49883479820627802</v>
      </c>
      <c r="S136" s="110">
        <v>0</v>
      </c>
    </row>
    <row r="137" spans="1:21" ht="16.5" hidden="1" outlineLevel="1" thickBot="1" x14ac:dyDescent="0.3">
      <c r="A137" s="217"/>
      <c r="B137" s="129"/>
      <c r="C137" s="223"/>
      <c r="D137" s="81" t="s">
        <v>1</v>
      </c>
      <c r="E137" s="88">
        <v>9000</v>
      </c>
      <c r="F137" s="88">
        <v>9000</v>
      </c>
      <c r="G137" s="88">
        <v>8500</v>
      </c>
      <c r="H137" s="88">
        <v>8500</v>
      </c>
      <c r="I137" s="88">
        <v>8500</v>
      </c>
      <c r="J137" s="88">
        <v>8500</v>
      </c>
      <c r="K137" s="88">
        <v>5500</v>
      </c>
      <c r="L137" s="88">
        <v>8500</v>
      </c>
      <c r="M137" s="88">
        <v>8500</v>
      </c>
      <c r="N137" s="88">
        <v>8500</v>
      </c>
      <c r="O137" s="88">
        <v>20000</v>
      </c>
      <c r="P137" s="88">
        <v>8500</v>
      </c>
      <c r="Q137" s="141">
        <f>SUM(E137:P137)</f>
        <v>111500</v>
      </c>
      <c r="R137" s="302"/>
      <c r="S137" s="109">
        <f>Q137/$Q$273</f>
        <v>6.9680967409305374E-3</v>
      </c>
    </row>
    <row r="138" spans="1:21" ht="15.75" hidden="1" outlineLevel="1" x14ac:dyDescent="0.25">
      <c r="A138" s="216" t="s">
        <v>146</v>
      </c>
      <c r="B138" s="213" t="s">
        <v>12</v>
      </c>
      <c r="C138" s="218" t="s">
        <v>137</v>
      </c>
      <c r="D138" s="77" t="s">
        <v>14</v>
      </c>
      <c r="E138" s="78">
        <v>3452.32</v>
      </c>
      <c r="F138" s="78">
        <v>3375.9500000000003</v>
      </c>
      <c r="G138" s="79">
        <v>4399.4324999999999</v>
      </c>
      <c r="H138" s="260">
        <v>12118.45</v>
      </c>
      <c r="I138" s="80">
        <v>7408.6099999999988</v>
      </c>
      <c r="J138" s="80">
        <v>5013.34</v>
      </c>
      <c r="K138" s="80">
        <v>419.1</v>
      </c>
      <c r="L138" s="80"/>
      <c r="M138" s="80"/>
      <c r="N138" s="80"/>
      <c r="O138" s="80"/>
      <c r="P138" s="80"/>
      <c r="Q138" s="90">
        <f>+SUM(E138:P138)</f>
        <v>36187.202499999992</v>
      </c>
      <c r="R138" s="301">
        <f>Q138/Q139</f>
        <v>0.51696003571428562</v>
      </c>
      <c r="S138" s="110">
        <v>0</v>
      </c>
    </row>
    <row r="139" spans="1:21" ht="16.5" hidden="1" outlineLevel="1" thickBot="1" x14ac:dyDescent="0.3">
      <c r="A139" s="217"/>
      <c r="B139" s="129"/>
      <c r="C139" s="223"/>
      <c r="D139" s="81" t="s">
        <v>1</v>
      </c>
      <c r="E139" s="88">
        <v>3500</v>
      </c>
      <c r="F139" s="88">
        <v>3500</v>
      </c>
      <c r="G139" s="88">
        <v>5000</v>
      </c>
      <c r="H139" s="88">
        <v>11000</v>
      </c>
      <c r="I139" s="88">
        <v>7500</v>
      </c>
      <c r="J139" s="88">
        <v>7500</v>
      </c>
      <c r="K139" s="88">
        <v>7500</v>
      </c>
      <c r="L139" s="88">
        <v>7500</v>
      </c>
      <c r="M139" s="88">
        <v>3500</v>
      </c>
      <c r="N139" s="88">
        <v>2500</v>
      </c>
      <c r="O139" s="88">
        <v>7500</v>
      </c>
      <c r="P139" s="88">
        <v>3500</v>
      </c>
      <c r="Q139" s="141">
        <f>SUM(E139:P139)</f>
        <v>70000</v>
      </c>
      <c r="R139" s="302"/>
      <c r="S139" s="109">
        <f>Q139/$Q$273</f>
        <v>4.3745898821985442E-3</v>
      </c>
    </row>
    <row r="140" spans="1:21" ht="15.75" hidden="1" outlineLevel="1" x14ac:dyDescent="0.25">
      <c r="A140" s="216" t="s">
        <v>146</v>
      </c>
      <c r="B140" s="213" t="s">
        <v>23</v>
      </c>
      <c r="C140" s="222" t="s">
        <v>159</v>
      </c>
      <c r="D140" s="77" t="s">
        <v>14</v>
      </c>
      <c r="E140" s="78">
        <v>54768.9</v>
      </c>
      <c r="F140" s="78">
        <v>32615.040000000001</v>
      </c>
      <c r="G140" s="79">
        <v>50633.85</v>
      </c>
      <c r="H140" s="260">
        <v>28817</v>
      </c>
      <c r="I140" s="80">
        <v>27334.37</v>
      </c>
      <c r="J140" s="80">
        <v>11030</v>
      </c>
      <c r="K140" s="80">
        <v>33909.51</v>
      </c>
      <c r="L140" s="80"/>
      <c r="M140" s="80"/>
      <c r="N140" s="80"/>
      <c r="O140" s="80"/>
      <c r="P140" s="80"/>
      <c r="Q140" s="90">
        <f>+SUM(E140:P140)</f>
        <v>239108.67</v>
      </c>
      <c r="R140" s="313">
        <f>Q140/Q142</f>
        <v>0.91964873076923082</v>
      </c>
      <c r="S140" s="110">
        <v>0</v>
      </c>
    </row>
    <row r="141" spans="1:21" ht="15.75" hidden="1" outlineLevel="1" x14ac:dyDescent="0.25">
      <c r="A141" s="217"/>
      <c r="B141" s="129"/>
      <c r="C141" s="223"/>
      <c r="D141" s="84" t="s">
        <v>25</v>
      </c>
      <c r="E141" s="144"/>
      <c r="F141" s="145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91">
        <f>SUM(E141:P141)</f>
        <v>0</v>
      </c>
      <c r="R141" s="314"/>
      <c r="S141" s="109"/>
    </row>
    <row r="142" spans="1:21" ht="16.5" hidden="1" outlineLevel="1" thickBot="1" x14ac:dyDescent="0.3">
      <c r="A142" s="217"/>
      <c r="B142" s="129"/>
      <c r="C142" s="223"/>
      <c r="D142" s="81" t="s">
        <v>1</v>
      </c>
      <c r="E142" s="118">
        <v>25000</v>
      </c>
      <c r="F142" s="118">
        <v>25000</v>
      </c>
      <c r="G142" s="118">
        <v>25000</v>
      </c>
      <c r="H142" s="118">
        <v>25000</v>
      </c>
      <c r="I142" s="118">
        <v>16500</v>
      </c>
      <c r="J142" s="118">
        <v>20000</v>
      </c>
      <c r="K142" s="118">
        <v>16500</v>
      </c>
      <c r="L142" s="118">
        <v>17000</v>
      </c>
      <c r="M142" s="118">
        <v>25000</v>
      </c>
      <c r="N142" s="118">
        <v>25000</v>
      </c>
      <c r="O142" s="118">
        <v>20000</v>
      </c>
      <c r="P142" s="118">
        <v>20000</v>
      </c>
      <c r="Q142" s="119">
        <f>SUM(E142:P142)</f>
        <v>260000</v>
      </c>
      <c r="R142" s="314"/>
      <c r="S142" s="109">
        <f>Q142/$Q$273</f>
        <v>1.6248476705308879E-2</v>
      </c>
      <c r="U142" s="130"/>
    </row>
    <row r="143" spans="1:21" ht="17.25" collapsed="1" thickTop="1" thickBot="1" x14ac:dyDescent="0.25">
      <c r="A143" s="226" t="s">
        <v>146</v>
      </c>
      <c r="B143" s="228" t="s">
        <v>0</v>
      </c>
      <c r="C143" s="226" t="s">
        <v>0</v>
      </c>
      <c r="D143" s="56" t="s">
        <v>14</v>
      </c>
      <c r="E143" s="89">
        <f>SUM(E141,E140,E138,E136,E134,E132,E130,E128,E126)</f>
        <v>79172.900000000009</v>
      </c>
      <c r="F143" s="89">
        <f t="shared" ref="F143:Q143" si="23">SUM(F141,F140,F138,F136,F134,F132,F130,F128,F126)</f>
        <v>83817.47</v>
      </c>
      <c r="G143" s="89">
        <f t="shared" si="23"/>
        <v>93965.412500000006</v>
      </c>
      <c r="H143" s="89">
        <f t="shared" si="23"/>
        <v>55930.59</v>
      </c>
      <c r="I143" s="89">
        <f t="shared" si="23"/>
        <v>42517.189999999995</v>
      </c>
      <c r="J143" s="89">
        <f t="shared" si="23"/>
        <v>27395.34</v>
      </c>
      <c r="K143" s="89">
        <f t="shared" si="23"/>
        <v>49397.2</v>
      </c>
      <c r="L143" s="89">
        <f t="shared" si="23"/>
        <v>0</v>
      </c>
      <c r="M143" s="89">
        <f t="shared" si="23"/>
        <v>0</v>
      </c>
      <c r="N143" s="89">
        <f t="shared" si="23"/>
        <v>0</v>
      </c>
      <c r="O143" s="89">
        <f t="shared" si="23"/>
        <v>0</v>
      </c>
      <c r="P143" s="89">
        <f t="shared" si="23"/>
        <v>0</v>
      </c>
      <c r="Q143" s="89">
        <f t="shared" si="23"/>
        <v>432196.10250000004</v>
      </c>
      <c r="R143" s="315">
        <f>Q143/Q144</f>
        <v>0.64362785182427407</v>
      </c>
      <c r="S143" s="110">
        <v>0</v>
      </c>
      <c r="T143" s="130"/>
    </row>
    <row r="144" spans="1:21" ht="17.25" thickTop="1" thickBot="1" x14ac:dyDescent="0.3">
      <c r="A144" s="227"/>
      <c r="B144" s="229"/>
      <c r="C144" s="227"/>
      <c r="D144" s="64" t="s">
        <v>143</v>
      </c>
      <c r="E144" s="7">
        <f>SUM(E142+E139+E137+E135+E133+E131+E129+E127)</f>
        <v>55500</v>
      </c>
      <c r="F144" s="7">
        <f t="shared" ref="F144:P144" si="24">SUM(F142+F139+F137+F135+F133+F131+F129+F127)</f>
        <v>59500</v>
      </c>
      <c r="G144" s="7">
        <f t="shared" si="24"/>
        <v>60500</v>
      </c>
      <c r="H144" s="7">
        <f t="shared" si="24"/>
        <v>69500</v>
      </c>
      <c r="I144" s="7">
        <f t="shared" si="24"/>
        <v>54000</v>
      </c>
      <c r="J144" s="7">
        <f t="shared" si="24"/>
        <v>53000</v>
      </c>
      <c r="K144" s="7">
        <f t="shared" si="24"/>
        <v>45500</v>
      </c>
      <c r="L144" s="7">
        <f t="shared" si="24"/>
        <v>51000</v>
      </c>
      <c r="M144" s="7">
        <f t="shared" si="24"/>
        <v>52500</v>
      </c>
      <c r="N144" s="7">
        <f t="shared" si="24"/>
        <v>54500</v>
      </c>
      <c r="O144" s="7">
        <f t="shared" si="24"/>
        <v>65000</v>
      </c>
      <c r="P144" s="7">
        <f t="shared" si="24"/>
        <v>51000</v>
      </c>
      <c r="Q144" s="7">
        <f>SUM(Q142+Q139+Q137+Q135+Q133+Q131+Q129+Q127)</f>
        <v>671500</v>
      </c>
      <c r="R144" s="315"/>
      <c r="S144" s="109">
        <f>Q144/$Q$273</f>
        <v>4.1964815798518885E-2</v>
      </c>
    </row>
    <row r="145" spans="1:22" ht="17.25" thickTop="1" thickBot="1" x14ac:dyDescent="0.3">
      <c r="A145" s="227"/>
      <c r="B145" s="229"/>
      <c r="C145" s="227"/>
      <c r="D145" s="57" t="s">
        <v>2</v>
      </c>
      <c r="E145" s="8">
        <f>E143/E144</f>
        <v>1.4265387387387389</v>
      </c>
      <c r="F145" s="8">
        <v>0.9042606849315068</v>
      </c>
      <c r="G145" s="8">
        <f t="shared" ref="G145:P145" si="25">G143/G144</f>
        <v>1.5531473140495868</v>
      </c>
      <c r="H145" s="8">
        <f t="shared" si="25"/>
        <v>0.80475669064748201</v>
      </c>
      <c r="I145" s="8">
        <f t="shared" si="25"/>
        <v>0.78735537037037029</v>
      </c>
      <c r="J145" s="8">
        <f t="shared" si="25"/>
        <v>0.51689320754716983</v>
      </c>
      <c r="K145" s="8">
        <f t="shared" si="25"/>
        <v>1.0856527472527473</v>
      </c>
      <c r="L145" s="8">
        <f t="shared" si="25"/>
        <v>0</v>
      </c>
      <c r="M145" s="8">
        <f t="shared" si="25"/>
        <v>0</v>
      </c>
      <c r="N145" s="8">
        <f t="shared" si="25"/>
        <v>0</v>
      </c>
      <c r="O145" s="8">
        <f t="shared" si="25"/>
        <v>0</v>
      </c>
      <c r="P145" s="8">
        <f t="shared" si="25"/>
        <v>0</v>
      </c>
      <c r="Q145" s="46">
        <f>Q143/Q144</f>
        <v>0.64362785182427407</v>
      </c>
      <c r="R145" s="315"/>
      <c r="S145" s="103"/>
    </row>
    <row r="146" spans="1:22" ht="17.25" thickTop="1" thickBot="1" x14ac:dyDescent="0.3">
      <c r="A146" s="227"/>
      <c r="B146" s="229"/>
      <c r="C146" s="227"/>
      <c r="D146" s="65" t="s">
        <v>3</v>
      </c>
      <c r="E146" s="10">
        <f t="shared" ref="E146" si="26">E143-E144</f>
        <v>23672.900000000009</v>
      </c>
      <c r="F146" s="10">
        <v>-13977.940000000002</v>
      </c>
      <c r="G146" s="10">
        <f t="shared" ref="G146:P146" si="27">G143-G144</f>
        <v>33465.412500000006</v>
      </c>
      <c r="H146" s="10">
        <f t="shared" si="27"/>
        <v>-13569.410000000003</v>
      </c>
      <c r="I146" s="10">
        <f t="shared" si="27"/>
        <v>-11482.810000000005</v>
      </c>
      <c r="J146" s="10">
        <f t="shared" si="27"/>
        <v>-25604.66</v>
      </c>
      <c r="K146" s="10">
        <f t="shared" si="27"/>
        <v>3897.1999999999971</v>
      </c>
      <c r="L146" s="10">
        <f t="shared" si="27"/>
        <v>-51000</v>
      </c>
      <c r="M146" s="10">
        <f t="shared" si="27"/>
        <v>-52500</v>
      </c>
      <c r="N146" s="10">
        <f t="shared" si="27"/>
        <v>-54500</v>
      </c>
      <c r="O146" s="10">
        <f t="shared" si="27"/>
        <v>-65000</v>
      </c>
      <c r="P146" s="10">
        <f t="shared" si="27"/>
        <v>-51000</v>
      </c>
      <c r="Q146" s="47">
        <f>Q143-Q144</f>
        <v>-239303.89749999996</v>
      </c>
      <c r="R146" s="315"/>
      <c r="S146" s="104"/>
    </row>
    <row r="147" spans="1:22" ht="16.5" thickBot="1" x14ac:dyDescent="0.3">
      <c r="A147" s="227"/>
      <c r="B147" s="229"/>
      <c r="C147" s="227"/>
      <c r="D147" s="66" t="s">
        <v>4</v>
      </c>
      <c r="E147" s="9">
        <f t="shared" ref="E147" si="28">E146/E143</f>
        <v>0.29900256274558601</v>
      </c>
      <c r="F147" s="9">
        <v>-0.10587579075799911</v>
      </c>
      <c r="G147" s="9">
        <f t="shared" ref="G147:P147" si="29">G146/G143</f>
        <v>0.35614607130043729</v>
      </c>
      <c r="H147" s="9">
        <f t="shared" si="29"/>
        <v>-0.24261160127221981</v>
      </c>
      <c r="I147" s="9">
        <f t="shared" si="29"/>
        <v>-0.27007452750287603</v>
      </c>
      <c r="J147" s="9">
        <f t="shared" si="29"/>
        <v>-0.9346355986091065</v>
      </c>
      <c r="K147" s="9">
        <f t="shared" si="29"/>
        <v>7.8895160049557406E-2</v>
      </c>
      <c r="L147" s="9" t="e">
        <f t="shared" si="29"/>
        <v>#DIV/0!</v>
      </c>
      <c r="M147" s="9" t="e">
        <f t="shared" si="29"/>
        <v>#DIV/0!</v>
      </c>
      <c r="N147" s="9" t="e">
        <f t="shared" si="29"/>
        <v>#DIV/0!</v>
      </c>
      <c r="O147" s="9" t="e">
        <f t="shared" si="29"/>
        <v>#DIV/0!</v>
      </c>
      <c r="P147" s="9" t="e">
        <f t="shared" si="29"/>
        <v>#DIV/0!</v>
      </c>
      <c r="Q147" s="48">
        <f>Q146/Q143</f>
        <v>-0.55369286329924727</v>
      </c>
      <c r="R147" s="18"/>
      <c r="S147" s="105"/>
    </row>
    <row r="148" spans="1:22" ht="15.75" thickBot="1" x14ac:dyDescent="0.25">
      <c r="A148" s="6"/>
      <c r="B148" s="6"/>
      <c r="C148" s="75"/>
      <c r="D148" s="67" t="s">
        <v>26</v>
      </c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40"/>
      <c r="Q148" s="67"/>
      <c r="R148" s="36"/>
      <c r="S148" s="106"/>
    </row>
    <row r="149" spans="1:22" ht="15.75" hidden="1" outlineLevel="1" x14ac:dyDescent="0.25">
      <c r="A149" s="216" t="s">
        <v>70</v>
      </c>
      <c r="B149" s="213" t="s">
        <v>12</v>
      </c>
      <c r="C149" s="222" t="s">
        <v>54</v>
      </c>
      <c r="D149" s="77" t="s">
        <v>14</v>
      </c>
      <c r="E149" s="78">
        <v>41692.9</v>
      </c>
      <c r="F149" s="78">
        <v>29818.240000000002</v>
      </c>
      <c r="G149" s="79">
        <v>30581</v>
      </c>
      <c r="H149" s="260">
        <v>31202</v>
      </c>
      <c r="I149" s="80">
        <v>33280.5</v>
      </c>
      <c r="J149" s="80">
        <v>11944.5</v>
      </c>
      <c r="K149" s="80">
        <v>22685</v>
      </c>
      <c r="L149" s="80"/>
      <c r="M149" s="80"/>
      <c r="N149" s="80"/>
      <c r="O149" s="80"/>
      <c r="P149" s="80"/>
      <c r="Q149" s="90">
        <f>+SUM(E149:P149)</f>
        <v>201204.14</v>
      </c>
      <c r="R149" s="301">
        <f>Q149/Q150</f>
        <v>0.57486897142857152</v>
      </c>
      <c r="S149" s="110">
        <v>0</v>
      </c>
      <c r="T149" s="130"/>
      <c r="V149" s="136"/>
    </row>
    <row r="150" spans="1:22" ht="16.5" hidden="1" outlineLevel="1" thickBot="1" x14ac:dyDescent="0.3">
      <c r="A150" s="217"/>
      <c r="B150" s="129"/>
      <c r="C150" s="221"/>
      <c r="D150" s="81" t="s">
        <v>1</v>
      </c>
      <c r="E150" s="88">
        <v>30000</v>
      </c>
      <c r="F150" s="88">
        <v>30000</v>
      </c>
      <c r="G150" s="88">
        <v>30000</v>
      </c>
      <c r="H150" s="88">
        <v>30000</v>
      </c>
      <c r="I150" s="245">
        <v>30000</v>
      </c>
      <c r="J150" s="88">
        <v>25000</v>
      </c>
      <c r="K150" s="88">
        <v>25000</v>
      </c>
      <c r="L150" s="88">
        <v>30000</v>
      </c>
      <c r="M150" s="88">
        <v>30000</v>
      </c>
      <c r="N150" s="88">
        <v>30000</v>
      </c>
      <c r="O150" s="88">
        <v>30000</v>
      </c>
      <c r="P150" s="88">
        <v>30000</v>
      </c>
      <c r="Q150" s="141">
        <f>SUM(E150:P150)</f>
        <v>350000</v>
      </c>
      <c r="R150" s="302"/>
      <c r="S150" s="109">
        <f>Q150/$Q$273</f>
        <v>2.1872949410992718E-2</v>
      </c>
      <c r="T150" s="130"/>
    </row>
    <row r="151" spans="1:22" ht="15.75" hidden="1" outlineLevel="1" x14ac:dyDescent="0.25">
      <c r="A151" s="216" t="s">
        <v>70</v>
      </c>
      <c r="B151" s="213" t="s">
        <v>12</v>
      </c>
      <c r="C151" s="222" t="s">
        <v>120</v>
      </c>
      <c r="D151" s="77" t="s">
        <v>14</v>
      </c>
      <c r="E151" s="78">
        <v>6716.5</v>
      </c>
      <c r="F151" s="78">
        <v>6746.5</v>
      </c>
      <c r="G151" s="79">
        <v>11468.5</v>
      </c>
      <c r="H151" s="260">
        <v>2875.6</v>
      </c>
      <c r="I151" s="80">
        <v>3766.5</v>
      </c>
      <c r="J151" s="80">
        <v>2394.5</v>
      </c>
      <c r="K151" s="80">
        <v>1637.5</v>
      </c>
      <c r="L151" s="80"/>
      <c r="M151" s="80"/>
      <c r="N151" s="80"/>
      <c r="O151" s="80"/>
      <c r="P151" s="80"/>
      <c r="Q151" s="90">
        <f>+SUM(E151:P151)</f>
        <v>35605.599999999999</v>
      </c>
      <c r="R151" s="301">
        <f>Q151/Q152</f>
        <v>0.25989489051094888</v>
      </c>
      <c r="S151" s="110">
        <v>0</v>
      </c>
      <c r="T151" s="130"/>
    </row>
    <row r="152" spans="1:22" ht="16.5" hidden="1" outlineLevel="1" thickBot="1" x14ac:dyDescent="0.3">
      <c r="A152" s="217"/>
      <c r="B152" s="129"/>
      <c r="C152" s="221"/>
      <c r="D152" s="81" t="s">
        <v>1</v>
      </c>
      <c r="E152" s="88">
        <v>15000</v>
      </c>
      <c r="F152" s="88">
        <v>18000</v>
      </c>
      <c r="G152" s="88">
        <v>9500</v>
      </c>
      <c r="H152" s="88">
        <v>15000</v>
      </c>
      <c r="I152" s="88">
        <v>15000</v>
      </c>
      <c r="J152" s="88">
        <v>9500</v>
      </c>
      <c r="K152" s="88">
        <v>2000</v>
      </c>
      <c r="L152" s="88">
        <v>10000</v>
      </c>
      <c r="M152" s="88">
        <v>12000</v>
      </c>
      <c r="N152" s="88">
        <v>10000</v>
      </c>
      <c r="O152" s="88">
        <v>11000</v>
      </c>
      <c r="P152" s="88">
        <v>10000</v>
      </c>
      <c r="Q152" s="141">
        <f>SUM(E152:P152)</f>
        <v>137000</v>
      </c>
      <c r="R152" s="302"/>
      <c r="S152" s="109">
        <f>Q152/$Q$273</f>
        <v>8.5616973408742924E-3</v>
      </c>
      <c r="T152" s="130"/>
    </row>
    <row r="153" spans="1:22" ht="15.75" hidden="1" outlineLevel="1" x14ac:dyDescent="0.25">
      <c r="A153" s="216" t="s">
        <v>70</v>
      </c>
      <c r="B153" s="213" t="s">
        <v>12</v>
      </c>
      <c r="C153" s="222" t="s">
        <v>51</v>
      </c>
      <c r="D153" s="77" t="s">
        <v>14</v>
      </c>
      <c r="E153" s="78">
        <v>3357.5</v>
      </c>
      <c r="F153" s="78">
        <v>5467.25</v>
      </c>
      <c r="G153" s="79">
        <v>3234</v>
      </c>
      <c r="H153" s="260">
        <v>9420.75</v>
      </c>
      <c r="I153" s="80">
        <v>4646</v>
      </c>
      <c r="J153" s="80">
        <v>2782.5</v>
      </c>
      <c r="K153" s="80">
        <v>2639.5</v>
      </c>
      <c r="L153" s="80"/>
      <c r="M153" s="80"/>
      <c r="N153" s="80"/>
      <c r="O153" s="80"/>
      <c r="P153" s="80"/>
      <c r="Q153" s="90">
        <f>+SUM(E153:P153)</f>
        <v>31547.5</v>
      </c>
      <c r="R153" s="301">
        <f>Q153/Q154</f>
        <v>0.24267307692307694</v>
      </c>
      <c r="S153" s="110">
        <v>0</v>
      </c>
    </row>
    <row r="154" spans="1:22" ht="16.5" hidden="1" outlineLevel="1" thickBot="1" x14ac:dyDescent="0.3">
      <c r="A154" s="217"/>
      <c r="B154" s="129"/>
      <c r="C154" s="221"/>
      <c r="D154" s="81" t="s">
        <v>1</v>
      </c>
      <c r="E154" s="88">
        <v>10000</v>
      </c>
      <c r="F154" s="88">
        <v>15000</v>
      </c>
      <c r="G154" s="88">
        <v>10000</v>
      </c>
      <c r="H154" s="88">
        <v>10000</v>
      </c>
      <c r="I154" s="88">
        <v>15000</v>
      </c>
      <c r="J154" s="88">
        <v>10000</v>
      </c>
      <c r="K154" s="88">
        <v>5000</v>
      </c>
      <c r="L154" s="88">
        <v>10000</v>
      </c>
      <c r="M154" s="88">
        <v>15000</v>
      </c>
      <c r="N154" s="88">
        <v>10000</v>
      </c>
      <c r="O154" s="88">
        <v>10000</v>
      </c>
      <c r="P154" s="88">
        <v>10000</v>
      </c>
      <c r="Q154" s="141">
        <f>SUM(E154:P154)</f>
        <v>130000</v>
      </c>
      <c r="R154" s="302"/>
      <c r="S154" s="109">
        <f>Q154/$Q$273</f>
        <v>8.1242383526544393E-3</v>
      </c>
    </row>
    <row r="155" spans="1:22" ht="15.75" hidden="1" outlineLevel="1" x14ac:dyDescent="0.25">
      <c r="A155" s="216" t="s">
        <v>70</v>
      </c>
      <c r="B155" s="213" t="s">
        <v>12</v>
      </c>
      <c r="C155" s="222" t="s">
        <v>55</v>
      </c>
      <c r="D155" s="77" t="s">
        <v>14</v>
      </c>
      <c r="E155" s="78">
        <v>156981.5</v>
      </c>
      <c r="F155" s="78">
        <v>52568.5</v>
      </c>
      <c r="G155" s="79">
        <v>30356</v>
      </c>
      <c r="H155" s="260">
        <v>120751.5</v>
      </c>
      <c r="I155" s="80">
        <v>38890.5</v>
      </c>
      <c r="J155" s="80">
        <v>37104</v>
      </c>
      <c r="K155" s="80">
        <v>31721.5</v>
      </c>
      <c r="L155" s="80"/>
      <c r="M155" s="80"/>
      <c r="N155" s="80"/>
      <c r="O155" s="80"/>
      <c r="P155" s="80"/>
      <c r="Q155" s="90">
        <f>+SUM(E155:P155)</f>
        <v>468373.5</v>
      </c>
      <c r="R155" s="301">
        <f>Q155/Q156</f>
        <v>0.85158818181818186</v>
      </c>
      <c r="S155" s="110">
        <v>0</v>
      </c>
      <c r="T155" s="130"/>
    </row>
    <row r="156" spans="1:22" ht="16.5" hidden="1" outlineLevel="1" thickBot="1" x14ac:dyDescent="0.3">
      <c r="A156" s="217"/>
      <c r="B156" s="129"/>
      <c r="C156" s="221"/>
      <c r="D156" s="81" t="s">
        <v>1</v>
      </c>
      <c r="E156" s="88">
        <v>45000</v>
      </c>
      <c r="F156" s="88">
        <v>50000</v>
      </c>
      <c r="G156" s="88">
        <v>50000</v>
      </c>
      <c r="H156" s="88">
        <v>50000</v>
      </c>
      <c r="I156" s="88">
        <v>45000</v>
      </c>
      <c r="J156" s="88">
        <v>45000</v>
      </c>
      <c r="K156" s="88">
        <v>35000</v>
      </c>
      <c r="L156" s="88">
        <v>35000</v>
      </c>
      <c r="M156" s="88">
        <v>45000</v>
      </c>
      <c r="N156" s="88">
        <v>50000</v>
      </c>
      <c r="O156" s="88">
        <v>50000</v>
      </c>
      <c r="P156" s="88">
        <v>50000</v>
      </c>
      <c r="Q156" s="141">
        <f>SUM(E156:P156)</f>
        <v>550000</v>
      </c>
      <c r="R156" s="302"/>
      <c r="S156" s="109">
        <f>Q156/$Q$273</f>
        <v>3.4371777645845702E-2</v>
      </c>
      <c r="T156" s="130"/>
    </row>
    <row r="157" spans="1:22" ht="15.75" hidden="1" outlineLevel="1" x14ac:dyDescent="0.25">
      <c r="A157" s="216" t="s">
        <v>70</v>
      </c>
      <c r="B157" s="213" t="s">
        <v>12</v>
      </c>
      <c r="C157" s="222" t="s">
        <v>35</v>
      </c>
      <c r="D157" s="138" t="s">
        <v>14</v>
      </c>
      <c r="E157" s="79">
        <v>7076.05</v>
      </c>
      <c r="F157" s="78">
        <v>10173.299999999999</v>
      </c>
      <c r="G157" s="79">
        <v>15452.595499999999</v>
      </c>
      <c r="H157" s="260">
        <v>27610.190999999999</v>
      </c>
      <c r="I157" s="80">
        <v>22718.395499999999</v>
      </c>
      <c r="J157" s="80">
        <v>8998.44</v>
      </c>
      <c r="K157" s="80">
        <v>15652.14</v>
      </c>
      <c r="L157" s="80"/>
      <c r="M157" s="80"/>
      <c r="N157" s="80"/>
      <c r="O157" s="80"/>
      <c r="P157" s="80"/>
      <c r="Q157" s="90">
        <f>+SUM(E157:P157)</f>
        <v>107681.11199999999</v>
      </c>
      <c r="R157" s="301">
        <f>Q157/Q158</f>
        <v>0.82831624615384614</v>
      </c>
      <c r="S157" s="110">
        <v>0</v>
      </c>
      <c r="T157" s="130"/>
    </row>
    <row r="158" spans="1:22" ht="16.5" hidden="1" outlineLevel="1" thickBot="1" x14ac:dyDescent="0.3">
      <c r="A158" s="217"/>
      <c r="B158" s="129"/>
      <c r="C158" s="221"/>
      <c r="D158" s="137" t="s">
        <v>1</v>
      </c>
      <c r="E158" s="88">
        <v>15000</v>
      </c>
      <c r="F158" s="88">
        <v>10000</v>
      </c>
      <c r="G158" s="88">
        <v>15000</v>
      </c>
      <c r="H158" s="88">
        <v>10000</v>
      </c>
      <c r="I158" s="88">
        <v>10000</v>
      </c>
      <c r="J158" s="88">
        <v>10000</v>
      </c>
      <c r="K158" s="88">
        <v>10000</v>
      </c>
      <c r="L158" s="88">
        <v>10000</v>
      </c>
      <c r="M158" s="88">
        <v>10000</v>
      </c>
      <c r="N158" s="88">
        <v>10000</v>
      </c>
      <c r="O158" s="88">
        <v>10000</v>
      </c>
      <c r="P158" s="88">
        <v>10000</v>
      </c>
      <c r="Q158" s="141">
        <f>SUM(E158:P158)</f>
        <v>130000</v>
      </c>
      <c r="R158" s="302"/>
      <c r="S158" s="109">
        <f>Q158/$Q$273</f>
        <v>8.1242383526544393E-3</v>
      </c>
      <c r="T158" s="130"/>
    </row>
    <row r="159" spans="1:22" ht="15.75" hidden="1" outlineLevel="1" x14ac:dyDescent="0.25">
      <c r="A159" s="216" t="s">
        <v>70</v>
      </c>
      <c r="B159" s="213" t="s">
        <v>12</v>
      </c>
      <c r="C159" s="222" t="s">
        <v>31</v>
      </c>
      <c r="D159" s="77" t="s">
        <v>14</v>
      </c>
      <c r="E159" s="78">
        <v>12043.1</v>
      </c>
      <c r="F159" s="78">
        <v>5213</v>
      </c>
      <c r="G159" s="79">
        <v>3717.3</v>
      </c>
      <c r="H159" s="260">
        <v>4759.5</v>
      </c>
      <c r="I159" s="80">
        <v>6324.7</v>
      </c>
      <c r="J159" s="80">
        <v>3997.5</v>
      </c>
      <c r="K159" s="80">
        <v>8889.9</v>
      </c>
      <c r="L159" s="120"/>
      <c r="M159" s="120"/>
      <c r="N159" s="120"/>
      <c r="O159" s="120"/>
      <c r="P159" s="120"/>
      <c r="Q159" s="90">
        <f>+SUM(E159:P159)</f>
        <v>44945</v>
      </c>
      <c r="R159" s="301">
        <f>Q159/Q160</f>
        <v>0.3942543859649123</v>
      </c>
      <c r="S159" s="110">
        <v>0</v>
      </c>
      <c r="T159" s="130"/>
    </row>
    <row r="160" spans="1:22" ht="16.5" hidden="1" outlineLevel="1" thickBot="1" x14ac:dyDescent="0.3">
      <c r="A160" s="217"/>
      <c r="B160" s="129"/>
      <c r="C160" s="221"/>
      <c r="D160" s="81" t="s">
        <v>1</v>
      </c>
      <c r="E160" s="88">
        <v>15000</v>
      </c>
      <c r="F160" s="88">
        <v>10000</v>
      </c>
      <c r="G160" s="88">
        <v>11000</v>
      </c>
      <c r="H160" s="88">
        <v>13000</v>
      </c>
      <c r="I160" s="88">
        <v>6000</v>
      </c>
      <c r="J160" s="88">
        <v>15000</v>
      </c>
      <c r="K160" s="88">
        <v>7000</v>
      </c>
      <c r="L160" s="88">
        <v>14000</v>
      </c>
      <c r="M160" s="88">
        <v>8000</v>
      </c>
      <c r="N160" s="88">
        <v>5000</v>
      </c>
      <c r="O160" s="88">
        <v>5000</v>
      </c>
      <c r="P160" s="88">
        <v>5000</v>
      </c>
      <c r="Q160" s="141">
        <f>SUM(E160:P160)</f>
        <v>114000</v>
      </c>
      <c r="R160" s="302"/>
      <c r="S160" s="109">
        <f>Q160/$Q$273</f>
        <v>7.1243320938662001E-3</v>
      </c>
      <c r="T160" s="130"/>
    </row>
    <row r="161" spans="1:22" ht="15.75" hidden="1" outlineLevel="1" x14ac:dyDescent="0.25">
      <c r="A161" s="216" t="s">
        <v>70</v>
      </c>
      <c r="B161" s="213" t="s">
        <v>12</v>
      </c>
      <c r="C161" s="222" t="s">
        <v>121</v>
      </c>
      <c r="D161" s="77" t="s">
        <v>14</v>
      </c>
      <c r="E161" s="78">
        <v>709.2</v>
      </c>
      <c r="F161" s="78">
        <v>300</v>
      </c>
      <c r="G161" s="79">
        <v>446.5</v>
      </c>
      <c r="H161" s="260">
        <v>719.4</v>
      </c>
      <c r="I161" s="80">
        <v>3496.6</v>
      </c>
      <c r="J161" s="80">
        <v>-32</v>
      </c>
      <c r="K161" s="80">
        <v>596.79999999999995</v>
      </c>
      <c r="L161" s="80"/>
      <c r="M161" s="80"/>
      <c r="N161" s="80"/>
      <c r="O161" s="80"/>
      <c r="P161" s="80"/>
      <c r="Q161" s="90">
        <f>+SUM(E161:P161)</f>
        <v>6236.5</v>
      </c>
      <c r="R161" s="301">
        <f>Q161/Q162</f>
        <v>0.12472999999999999</v>
      </c>
      <c r="S161" s="110">
        <v>0</v>
      </c>
      <c r="T161" s="130"/>
    </row>
    <row r="162" spans="1:22" ht="16.5" hidden="1" outlineLevel="1" thickBot="1" x14ac:dyDescent="0.3">
      <c r="A162" s="217"/>
      <c r="B162" s="129"/>
      <c r="C162" s="221"/>
      <c r="D162" s="81" t="s">
        <v>1</v>
      </c>
      <c r="E162" s="88">
        <v>4165</v>
      </c>
      <c r="F162" s="88">
        <v>4167</v>
      </c>
      <c r="G162" s="88">
        <v>4167</v>
      </c>
      <c r="H162" s="88">
        <v>4167</v>
      </c>
      <c r="I162" s="88">
        <v>4167</v>
      </c>
      <c r="J162" s="88">
        <v>4167</v>
      </c>
      <c r="K162" s="88">
        <v>4167</v>
      </c>
      <c r="L162" s="88">
        <v>4167</v>
      </c>
      <c r="M162" s="88">
        <v>4167</v>
      </c>
      <c r="N162" s="88">
        <v>4167</v>
      </c>
      <c r="O162" s="88">
        <v>4167</v>
      </c>
      <c r="P162" s="88">
        <v>4165</v>
      </c>
      <c r="Q162" s="141">
        <f>SUM(E162:P162)</f>
        <v>50000</v>
      </c>
      <c r="R162" s="302"/>
      <c r="S162" s="109">
        <f>Q162/$Q$273</f>
        <v>3.1247070587132456E-3</v>
      </c>
      <c r="T162" s="130"/>
    </row>
    <row r="163" spans="1:22" ht="15.75" hidden="1" outlineLevel="1" x14ac:dyDescent="0.25">
      <c r="A163" s="216" t="s">
        <v>70</v>
      </c>
      <c r="B163" s="213" t="s">
        <v>12</v>
      </c>
      <c r="C163" s="222" t="s">
        <v>122</v>
      </c>
      <c r="D163" s="77" t="s">
        <v>14</v>
      </c>
      <c r="E163" s="78">
        <v>3537.95</v>
      </c>
      <c r="F163" s="78">
        <v>2530.5500000000002</v>
      </c>
      <c r="G163" s="79">
        <v>3229</v>
      </c>
      <c r="H163" s="260">
        <v>3618.5</v>
      </c>
      <c r="I163" s="80">
        <v>7989</v>
      </c>
      <c r="J163" s="80">
        <v>3606.5</v>
      </c>
      <c r="K163" s="80">
        <v>2718.5</v>
      </c>
      <c r="L163" s="80"/>
      <c r="M163" s="80"/>
      <c r="N163" s="80"/>
      <c r="O163" s="80"/>
      <c r="P163" s="80"/>
      <c r="Q163" s="90">
        <f>+SUM(E163:P163)</f>
        <v>27230</v>
      </c>
      <c r="R163" s="301">
        <f>Q163/Q164</f>
        <v>0.68074999999999997</v>
      </c>
      <c r="S163" s="110">
        <v>0</v>
      </c>
      <c r="T163" s="130"/>
    </row>
    <row r="164" spans="1:22" ht="16.5" hidden="1" outlineLevel="1" thickBot="1" x14ac:dyDescent="0.3">
      <c r="A164" s="217"/>
      <c r="B164" s="129"/>
      <c r="C164" s="221"/>
      <c r="D164" s="81" t="s">
        <v>1</v>
      </c>
      <c r="E164" s="88">
        <v>3500</v>
      </c>
      <c r="F164" s="88">
        <v>3500</v>
      </c>
      <c r="G164" s="88">
        <v>3500</v>
      </c>
      <c r="H164" s="88">
        <v>2500</v>
      </c>
      <c r="I164" s="88">
        <v>3500</v>
      </c>
      <c r="J164" s="88">
        <v>3500</v>
      </c>
      <c r="K164" s="88">
        <v>3500</v>
      </c>
      <c r="L164" s="88">
        <v>3500</v>
      </c>
      <c r="M164" s="88">
        <v>2500</v>
      </c>
      <c r="N164" s="88">
        <v>3500</v>
      </c>
      <c r="O164" s="88">
        <v>3500</v>
      </c>
      <c r="P164" s="88">
        <v>3500</v>
      </c>
      <c r="Q164" s="141">
        <f>SUM(E164:P164)</f>
        <v>40000</v>
      </c>
      <c r="R164" s="302"/>
      <c r="S164" s="109">
        <f>Q164/$Q$273</f>
        <v>2.4997656469705966E-3</v>
      </c>
      <c r="T164" s="130"/>
    </row>
    <row r="165" spans="1:22" ht="15.75" hidden="1" outlineLevel="1" x14ac:dyDescent="0.25">
      <c r="A165" s="216" t="s">
        <v>70</v>
      </c>
      <c r="B165" s="213" t="s">
        <v>12</v>
      </c>
      <c r="C165" s="222" t="s">
        <v>33</v>
      </c>
      <c r="D165" s="138" t="s">
        <v>14</v>
      </c>
      <c r="E165" s="79">
        <v>6408</v>
      </c>
      <c r="F165" s="78">
        <v>2517.9</v>
      </c>
      <c r="G165" s="79">
        <v>3744.1</v>
      </c>
      <c r="H165" s="260">
        <v>3121.63</v>
      </c>
      <c r="I165" s="80">
        <v>4657.5200000000004</v>
      </c>
      <c r="J165" s="80">
        <v>1483.9</v>
      </c>
      <c r="K165" s="80">
        <v>1595.3</v>
      </c>
      <c r="L165" s="80"/>
      <c r="M165" s="80"/>
      <c r="N165" s="80"/>
      <c r="O165" s="80"/>
      <c r="P165" s="80"/>
      <c r="Q165" s="90">
        <f>+SUM(E165:P165)</f>
        <v>23528.350000000002</v>
      </c>
      <c r="R165" s="301">
        <f>Q165/Q166</f>
        <v>0.47056700000000007</v>
      </c>
      <c r="S165" s="110">
        <v>0</v>
      </c>
      <c r="T165" s="130"/>
    </row>
    <row r="166" spans="1:22" ht="16.5" hidden="1" outlineLevel="1" thickBot="1" x14ac:dyDescent="0.3">
      <c r="A166" s="217"/>
      <c r="B166" s="129"/>
      <c r="C166" s="221"/>
      <c r="D166" s="137" t="s">
        <v>1</v>
      </c>
      <c r="E166" s="88">
        <v>5000</v>
      </c>
      <c r="F166" s="88">
        <v>2500</v>
      </c>
      <c r="G166" s="88">
        <v>2500</v>
      </c>
      <c r="H166" s="88">
        <v>2500</v>
      </c>
      <c r="I166" s="88">
        <v>2000</v>
      </c>
      <c r="J166" s="88">
        <v>2500</v>
      </c>
      <c r="K166" s="88">
        <v>2000</v>
      </c>
      <c r="L166" s="88">
        <v>2000</v>
      </c>
      <c r="M166" s="88">
        <v>2000</v>
      </c>
      <c r="N166" s="88">
        <v>2000</v>
      </c>
      <c r="O166" s="88">
        <v>10000</v>
      </c>
      <c r="P166" s="88">
        <v>15000</v>
      </c>
      <c r="Q166" s="141">
        <f>SUM(E166:P166)</f>
        <v>50000</v>
      </c>
      <c r="R166" s="302"/>
      <c r="S166" s="109">
        <f>Q166/$Q$273</f>
        <v>3.1247070587132456E-3</v>
      </c>
      <c r="T166" s="130"/>
    </row>
    <row r="167" spans="1:22" ht="15.75" hidden="1" outlineLevel="1" x14ac:dyDescent="0.25">
      <c r="A167" s="216" t="s">
        <v>70</v>
      </c>
      <c r="B167" s="213" t="s">
        <v>12</v>
      </c>
      <c r="C167" s="222" t="s">
        <v>123</v>
      </c>
      <c r="D167" s="138" t="s">
        <v>14</v>
      </c>
      <c r="E167" s="131">
        <v>806.09</v>
      </c>
      <c r="F167" s="78">
        <v>1631.4</v>
      </c>
      <c r="G167" s="79"/>
      <c r="H167" s="260">
        <v>2495</v>
      </c>
      <c r="I167" s="80">
        <v>1762.23</v>
      </c>
      <c r="J167" s="80">
        <v>1118.5999999999999</v>
      </c>
      <c r="K167" s="80">
        <v>486.2</v>
      </c>
      <c r="L167" s="132"/>
      <c r="M167" s="132"/>
      <c r="N167" s="132"/>
      <c r="O167" s="132"/>
      <c r="P167" s="80"/>
      <c r="Q167" s="90">
        <f>+SUM(E167:P167)</f>
        <v>8299.52</v>
      </c>
      <c r="R167" s="301">
        <f>Q167/Q168</f>
        <v>0.20748800000000001</v>
      </c>
      <c r="S167" s="110">
        <v>0</v>
      </c>
      <c r="T167" s="130"/>
    </row>
    <row r="168" spans="1:22" ht="16.5" hidden="1" outlineLevel="1" thickBot="1" x14ac:dyDescent="0.3">
      <c r="A168" s="217"/>
      <c r="B168" s="129"/>
      <c r="C168" s="221"/>
      <c r="D168" s="137" t="s">
        <v>1</v>
      </c>
      <c r="E168" s="88">
        <v>3000</v>
      </c>
      <c r="F168" s="88">
        <v>3000</v>
      </c>
      <c r="G168" s="88">
        <v>3000</v>
      </c>
      <c r="H168" s="88">
        <v>3500</v>
      </c>
      <c r="I168" s="88">
        <v>3500</v>
      </c>
      <c r="J168" s="88">
        <v>2500</v>
      </c>
      <c r="K168" s="88">
        <v>3500</v>
      </c>
      <c r="L168" s="88">
        <v>3500</v>
      </c>
      <c r="M168" s="88">
        <v>2500</v>
      </c>
      <c r="N168" s="88">
        <v>3000</v>
      </c>
      <c r="O168" s="88">
        <v>3000</v>
      </c>
      <c r="P168" s="88">
        <v>6000</v>
      </c>
      <c r="Q168" s="141">
        <f>SUM(E168:P168)</f>
        <v>40000</v>
      </c>
      <c r="R168" s="302"/>
      <c r="S168" s="109">
        <f>Q168/$Q$273</f>
        <v>2.4997656469705966E-3</v>
      </c>
      <c r="T168" s="130"/>
    </row>
    <row r="169" spans="1:22" ht="15.75" hidden="1" outlineLevel="1" x14ac:dyDescent="0.25">
      <c r="A169" s="216" t="s">
        <v>70</v>
      </c>
      <c r="B169" s="213" t="s">
        <v>12</v>
      </c>
      <c r="C169" s="222" t="s">
        <v>34</v>
      </c>
      <c r="D169" s="138" t="s">
        <v>14</v>
      </c>
      <c r="E169" s="78">
        <v>1209</v>
      </c>
      <c r="F169" s="78">
        <v>3497.5</v>
      </c>
      <c r="G169" s="79">
        <v>4581</v>
      </c>
      <c r="H169" s="260">
        <v>2190</v>
      </c>
      <c r="I169" s="80">
        <v>5225</v>
      </c>
      <c r="J169" s="80">
        <v>1445.5</v>
      </c>
      <c r="K169" s="80">
        <v>1868</v>
      </c>
      <c r="L169" s="80"/>
      <c r="M169" s="80"/>
      <c r="N169" s="80"/>
      <c r="O169" s="80"/>
      <c r="P169" s="80"/>
      <c r="Q169" s="90">
        <f>+SUM(E169:P169)</f>
        <v>20016</v>
      </c>
      <c r="R169" s="301">
        <f>Q169/Q170</f>
        <v>1.0007999999999999</v>
      </c>
      <c r="S169" s="110">
        <v>0</v>
      </c>
      <c r="T169" s="130"/>
    </row>
    <row r="170" spans="1:22" ht="16.5" hidden="1" outlineLevel="1" thickBot="1" x14ac:dyDescent="0.3">
      <c r="A170" s="217"/>
      <c r="B170" s="129"/>
      <c r="C170" s="221"/>
      <c r="D170" s="137" t="s">
        <v>1</v>
      </c>
      <c r="E170" s="88">
        <v>1500</v>
      </c>
      <c r="F170" s="88">
        <v>1500</v>
      </c>
      <c r="G170" s="88">
        <v>2500</v>
      </c>
      <c r="H170" s="88">
        <v>1500</v>
      </c>
      <c r="I170" s="88">
        <v>1500</v>
      </c>
      <c r="J170" s="88">
        <v>1500</v>
      </c>
      <c r="K170" s="88">
        <v>1500</v>
      </c>
      <c r="L170" s="88">
        <v>1500</v>
      </c>
      <c r="M170" s="88">
        <v>1500</v>
      </c>
      <c r="N170" s="88">
        <v>1500</v>
      </c>
      <c r="O170" s="88">
        <v>2000</v>
      </c>
      <c r="P170" s="88">
        <v>2000</v>
      </c>
      <c r="Q170" s="141">
        <f>SUM(E170:P170)</f>
        <v>20000</v>
      </c>
      <c r="R170" s="302"/>
      <c r="S170" s="109">
        <f>Q170/$Q$273</f>
        <v>1.2498828234852983E-3</v>
      </c>
      <c r="T170" s="130"/>
    </row>
    <row r="171" spans="1:22" ht="15.75" hidden="1" outlineLevel="1" x14ac:dyDescent="0.25">
      <c r="A171" s="216" t="s">
        <v>70</v>
      </c>
      <c r="B171" s="213" t="s">
        <v>12</v>
      </c>
      <c r="C171" s="218" t="s">
        <v>46</v>
      </c>
      <c r="D171" s="77" t="s">
        <v>14</v>
      </c>
      <c r="E171" s="78">
        <v>14481.54</v>
      </c>
      <c r="F171" s="78">
        <v>14538.941699999999</v>
      </c>
      <c r="G171" s="79">
        <v>14974.169999999998</v>
      </c>
      <c r="H171" s="260">
        <v>20303.349999999999</v>
      </c>
      <c r="I171" s="80">
        <v>27220.43</v>
      </c>
      <c r="J171" s="80">
        <v>13497.51</v>
      </c>
      <c r="K171" s="80">
        <v>14651.66</v>
      </c>
      <c r="L171" s="80"/>
      <c r="M171" s="80"/>
      <c r="N171" s="80"/>
      <c r="O171" s="80"/>
      <c r="P171" s="80"/>
      <c r="Q171" s="90">
        <f>+SUM(E171:P171)</f>
        <v>119667.6017</v>
      </c>
      <c r="R171" s="301">
        <f>Q171/Q172</f>
        <v>0.39889200566666666</v>
      </c>
      <c r="S171" s="110" t="e">
        <v>#REF!</v>
      </c>
    </row>
    <row r="172" spans="1:22" ht="16.5" hidden="1" outlineLevel="1" thickBot="1" x14ac:dyDescent="0.3">
      <c r="A172" s="217"/>
      <c r="B172" s="129"/>
      <c r="C172" s="219"/>
      <c r="D172" s="81" t="s">
        <v>1</v>
      </c>
      <c r="E172" s="88">
        <v>25000</v>
      </c>
      <c r="F172" s="88">
        <v>25000</v>
      </c>
      <c r="G172" s="88">
        <v>25000</v>
      </c>
      <c r="H172" s="88">
        <v>25000</v>
      </c>
      <c r="I172" s="88">
        <v>25000</v>
      </c>
      <c r="J172" s="88">
        <v>25000</v>
      </c>
      <c r="K172" s="88">
        <v>25000</v>
      </c>
      <c r="L172" s="88">
        <v>25000</v>
      </c>
      <c r="M172" s="88">
        <v>25000</v>
      </c>
      <c r="N172" s="88">
        <v>25000</v>
      </c>
      <c r="O172" s="88">
        <v>25000</v>
      </c>
      <c r="P172" s="88">
        <v>25000</v>
      </c>
      <c r="Q172" s="141">
        <f>SUM(E172:P172)</f>
        <v>300000</v>
      </c>
      <c r="R172" s="302"/>
      <c r="S172" s="109">
        <f>Q172/$Q$273</f>
        <v>1.8748242352279475E-2</v>
      </c>
    </row>
    <row r="173" spans="1:22" ht="15.75" hidden="1" outlineLevel="1" x14ac:dyDescent="0.25">
      <c r="A173" s="216" t="s">
        <v>70</v>
      </c>
      <c r="B173" s="213" t="s">
        <v>12</v>
      </c>
      <c r="C173" s="222" t="s">
        <v>124</v>
      </c>
      <c r="D173" s="138" t="s">
        <v>14</v>
      </c>
      <c r="E173" s="78">
        <v>2217</v>
      </c>
      <c r="F173" s="251">
        <v>704.5</v>
      </c>
      <c r="G173" s="79">
        <v>151</v>
      </c>
      <c r="H173" s="260">
        <v>2940.5</v>
      </c>
      <c r="I173" s="80">
        <v>592.5</v>
      </c>
      <c r="J173" s="80">
        <v>476</v>
      </c>
      <c r="K173" s="80">
        <v>2350</v>
      </c>
      <c r="L173" s="80"/>
      <c r="M173" s="80"/>
      <c r="N173" s="80"/>
      <c r="O173" s="80"/>
      <c r="P173" s="80"/>
      <c r="Q173" s="90">
        <f>+SUM(E173:P173)</f>
        <v>9431.5</v>
      </c>
      <c r="R173" s="301">
        <f>Q173/Q174</f>
        <v>0.65044827586206899</v>
      </c>
      <c r="S173" s="110">
        <v>0</v>
      </c>
      <c r="T173" s="130"/>
    </row>
    <row r="174" spans="1:22" ht="16.5" hidden="1" outlineLevel="1" thickBot="1" x14ac:dyDescent="0.3">
      <c r="A174" s="217"/>
      <c r="B174" s="129"/>
      <c r="C174" s="221"/>
      <c r="D174" s="137" t="s">
        <v>1</v>
      </c>
      <c r="E174" s="88">
        <v>1000</v>
      </c>
      <c r="F174" s="88">
        <v>1000</v>
      </c>
      <c r="G174" s="88">
        <v>1000</v>
      </c>
      <c r="H174" s="88">
        <v>1500</v>
      </c>
      <c r="I174" s="88">
        <v>2000</v>
      </c>
      <c r="J174" s="88">
        <v>1500</v>
      </c>
      <c r="K174" s="88">
        <v>1000</v>
      </c>
      <c r="L174" s="88">
        <v>1000</v>
      </c>
      <c r="M174" s="88">
        <v>1500</v>
      </c>
      <c r="N174" s="88">
        <v>1000</v>
      </c>
      <c r="O174" s="88">
        <v>1000</v>
      </c>
      <c r="P174" s="88">
        <v>1000</v>
      </c>
      <c r="Q174" s="141">
        <f>SUM(E174:P174)</f>
        <v>14500</v>
      </c>
      <c r="R174" s="302"/>
      <c r="S174" s="109">
        <f>Q174/$Q$273</f>
        <v>9.061650470268412E-4</v>
      </c>
      <c r="T174" s="130"/>
    </row>
    <row r="175" spans="1:22" ht="16.5" hidden="1" outlineLevel="1" thickBot="1" x14ac:dyDescent="0.3">
      <c r="A175" s="216" t="s">
        <v>70</v>
      </c>
      <c r="B175" s="213" t="s">
        <v>12</v>
      </c>
      <c r="C175" s="214" t="s">
        <v>97</v>
      </c>
      <c r="D175" s="138" t="s">
        <v>14</v>
      </c>
      <c r="E175" s="78">
        <v>9798.08</v>
      </c>
      <c r="F175" s="78">
        <v>13696.5</v>
      </c>
      <c r="G175" s="79">
        <v>8998</v>
      </c>
      <c r="H175" s="260">
        <v>24981.71</v>
      </c>
      <c r="I175" s="78">
        <v>18222.849999999999</v>
      </c>
      <c r="J175" s="78">
        <v>7295.8</v>
      </c>
      <c r="K175" s="78">
        <v>24973.58</v>
      </c>
      <c r="L175" s="78"/>
      <c r="M175" s="78"/>
      <c r="N175" s="244"/>
      <c r="O175" s="78"/>
      <c r="P175" s="78"/>
      <c r="Q175" s="90">
        <f>+SUM(E175:P175)</f>
        <v>107966.52</v>
      </c>
      <c r="R175" s="301">
        <f>Q175/Q176</f>
        <v>0.26658399999999999</v>
      </c>
      <c r="S175" s="110">
        <v>0</v>
      </c>
      <c r="T175" s="130"/>
      <c r="V175" s="136"/>
    </row>
    <row r="176" spans="1:22" ht="16.5" hidden="1" outlineLevel="1" thickBot="1" x14ac:dyDescent="0.3">
      <c r="A176" s="217"/>
      <c r="B176" s="129"/>
      <c r="C176" s="129"/>
      <c r="D176" s="137" t="s">
        <v>1</v>
      </c>
      <c r="E176" s="101">
        <v>35000</v>
      </c>
      <c r="F176" s="101">
        <v>35000</v>
      </c>
      <c r="G176" s="101">
        <v>35000</v>
      </c>
      <c r="H176" s="101">
        <v>35000</v>
      </c>
      <c r="I176" s="101">
        <v>35000</v>
      </c>
      <c r="J176" s="101">
        <v>35000</v>
      </c>
      <c r="K176" s="101">
        <v>25000</v>
      </c>
      <c r="L176" s="101">
        <v>35000</v>
      </c>
      <c r="M176" s="101">
        <v>30000</v>
      </c>
      <c r="N176" s="246">
        <v>35000</v>
      </c>
      <c r="O176" s="101">
        <v>35000</v>
      </c>
      <c r="P176" s="101">
        <v>35000</v>
      </c>
      <c r="Q176" s="141">
        <f>SUM(E176:P176)</f>
        <v>405000</v>
      </c>
      <c r="R176" s="302"/>
      <c r="S176" s="109">
        <f>Q176/$Q$273</f>
        <v>2.5310127175577291E-2</v>
      </c>
      <c r="T176" s="130"/>
    </row>
    <row r="177" spans="1:20" ht="17.25" collapsed="1" thickTop="1" thickBot="1" x14ac:dyDescent="0.25">
      <c r="A177" s="226" t="s">
        <v>70</v>
      </c>
      <c r="B177" s="228" t="s">
        <v>0</v>
      </c>
      <c r="C177" s="226" t="s">
        <v>0</v>
      </c>
      <c r="D177" s="56" t="s">
        <v>14</v>
      </c>
      <c r="E177" s="89">
        <f t="shared" ref="E177:Q177" si="30">SUM(E175,E173,E169,E167,E165,E163,E161,E159,E157,E155,E153,E151,E149)</f>
        <v>252552.87</v>
      </c>
      <c r="F177" s="89">
        <v>134865.13999999998</v>
      </c>
      <c r="G177" s="89">
        <f t="shared" si="30"/>
        <v>115958.99549999999</v>
      </c>
      <c r="H177" s="89">
        <f>SUM(H175,H173,H169,H167,H165,H163,H161,H159,H157,H155,H153,H151,H149,H171)</f>
        <v>256989.63099999999</v>
      </c>
      <c r="I177" s="89">
        <f t="shared" ref="I177:P177" si="31">SUM(I175,I173,I169,I167,I165,I163,I161,I159,I157,I155,I153,I151,I149,I171)</f>
        <v>178792.7255</v>
      </c>
      <c r="J177" s="89">
        <f t="shared" si="31"/>
        <v>96113.249999999985</v>
      </c>
      <c r="K177" s="89">
        <f t="shared" si="31"/>
        <v>132465.58000000002</v>
      </c>
      <c r="L177" s="89">
        <f t="shared" si="31"/>
        <v>0</v>
      </c>
      <c r="M177" s="89">
        <f t="shared" si="31"/>
        <v>0</v>
      </c>
      <c r="N177" s="89">
        <f t="shared" si="31"/>
        <v>0</v>
      </c>
      <c r="O177" s="89">
        <f t="shared" si="31"/>
        <v>0</v>
      </c>
      <c r="P177" s="89">
        <f t="shared" si="31"/>
        <v>0</v>
      </c>
      <c r="Q177" s="89">
        <f t="shared" si="30"/>
        <v>1092065.2420000001</v>
      </c>
      <c r="R177" s="315">
        <f>Q177/Q178</f>
        <v>0.46859697146535084</v>
      </c>
      <c r="S177" s="110">
        <v>0</v>
      </c>
      <c r="T177" s="130"/>
    </row>
    <row r="178" spans="1:20" ht="17.25" thickTop="1" thickBot="1" x14ac:dyDescent="0.3">
      <c r="A178" s="227"/>
      <c r="B178" s="229"/>
      <c r="C178" s="227"/>
      <c r="D178" s="64" t="s">
        <v>143</v>
      </c>
      <c r="E178" s="7">
        <f>SUM(E176+E174+E172+E170+E168+E166+E164+E162+E160+E158+E156+E154+E152+E150)</f>
        <v>208165</v>
      </c>
      <c r="F178" s="7">
        <f t="shared" ref="F178:P178" si="32">SUM(F176+F174+F172+F170+F168+F166+F164+F162+F160+F158+F156+F154+F152+F150)</f>
        <v>208667</v>
      </c>
      <c r="G178" s="7">
        <f t="shared" si="32"/>
        <v>202167</v>
      </c>
      <c r="H178" s="7">
        <f t="shared" si="32"/>
        <v>203667</v>
      </c>
      <c r="I178" s="7">
        <f t="shared" si="32"/>
        <v>197667</v>
      </c>
      <c r="J178" s="7">
        <f t="shared" si="32"/>
        <v>190167</v>
      </c>
      <c r="K178" s="7">
        <f t="shared" si="32"/>
        <v>149667</v>
      </c>
      <c r="L178" s="7">
        <f t="shared" si="32"/>
        <v>184667</v>
      </c>
      <c r="M178" s="7">
        <f t="shared" si="32"/>
        <v>189167</v>
      </c>
      <c r="N178" s="7">
        <f t="shared" si="32"/>
        <v>190167</v>
      </c>
      <c r="O178" s="7">
        <f t="shared" si="32"/>
        <v>199667</v>
      </c>
      <c r="P178" s="7">
        <f t="shared" si="32"/>
        <v>206665</v>
      </c>
      <c r="Q178" s="7">
        <f>SUM(Q176+Q174+Q172+Q170+Q168+Q166+Q164+Q162+Q160+Q158+Q156+Q154+Q152+Q150)</f>
        <v>2330500</v>
      </c>
      <c r="R178" s="315"/>
      <c r="S178" s="109">
        <f>Q178/$Q$273</f>
        <v>0.14564259600662438</v>
      </c>
    </row>
    <row r="179" spans="1:20" ht="17.25" thickTop="1" thickBot="1" x14ac:dyDescent="0.3">
      <c r="A179" s="227"/>
      <c r="B179" s="229"/>
      <c r="C179" s="227"/>
      <c r="D179" s="57" t="s">
        <v>2</v>
      </c>
      <c r="E179" s="8">
        <f t="shared" ref="E179:P179" si="33">E177/E178</f>
        <v>1.2132340691278554</v>
      </c>
      <c r="F179" s="8">
        <v>0.73429162560503514</v>
      </c>
      <c r="G179" s="8">
        <f t="shared" si="33"/>
        <v>0.57358023564676719</v>
      </c>
      <c r="H179" s="8">
        <f t="shared" si="33"/>
        <v>1.2618128170002996</v>
      </c>
      <c r="I179" s="8">
        <f t="shared" si="33"/>
        <v>0.90451479255515588</v>
      </c>
      <c r="J179" s="8">
        <f t="shared" si="33"/>
        <v>0.5054149773620028</v>
      </c>
      <c r="K179" s="8">
        <f t="shared" si="33"/>
        <v>0.88506871922334263</v>
      </c>
      <c r="L179" s="8">
        <f t="shared" si="33"/>
        <v>0</v>
      </c>
      <c r="M179" s="8">
        <f t="shared" si="33"/>
        <v>0</v>
      </c>
      <c r="N179" s="8">
        <f t="shared" si="33"/>
        <v>0</v>
      </c>
      <c r="O179" s="8">
        <f t="shared" si="33"/>
        <v>0</v>
      </c>
      <c r="P179" s="8">
        <f t="shared" si="33"/>
        <v>0</v>
      </c>
      <c r="Q179" s="46">
        <f>Q177/Q178</f>
        <v>0.46859697146535084</v>
      </c>
      <c r="R179" s="315"/>
      <c r="S179" s="103"/>
    </row>
    <row r="180" spans="1:20" ht="17.25" thickTop="1" thickBot="1" x14ac:dyDescent="0.3">
      <c r="A180" s="227"/>
      <c r="B180" s="229"/>
      <c r="C180" s="227"/>
      <c r="D180" s="65" t="s">
        <v>3</v>
      </c>
      <c r="E180" s="10">
        <f t="shared" ref="E180:P180" si="34">E177-E178</f>
        <v>44387.869999999995</v>
      </c>
      <c r="F180" s="10">
        <v>-48801.860000000015</v>
      </c>
      <c r="G180" s="10">
        <f t="shared" si="34"/>
        <v>-86208.00450000001</v>
      </c>
      <c r="H180" s="10">
        <f t="shared" si="34"/>
        <v>53322.630999999994</v>
      </c>
      <c r="I180" s="10">
        <f t="shared" si="34"/>
        <v>-18874.2745</v>
      </c>
      <c r="J180" s="10">
        <f t="shared" si="34"/>
        <v>-94053.750000000015</v>
      </c>
      <c r="K180" s="10">
        <f t="shared" si="34"/>
        <v>-17201.419999999984</v>
      </c>
      <c r="L180" s="10">
        <f t="shared" si="34"/>
        <v>-184667</v>
      </c>
      <c r="M180" s="10">
        <f t="shared" si="34"/>
        <v>-189167</v>
      </c>
      <c r="N180" s="10">
        <f t="shared" si="34"/>
        <v>-190167</v>
      </c>
      <c r="O180" s="10">
        <f t="shared" si="34"/>
        <v>-199667</v>
      </c>
      <c r="P180" s="10">
        <f t="shared" si="34"/>
        <v>-206665</v>
      </c>
      <c r="Q180" s="47">
        <f>Q177-Q178</f>
        <v>-1238434.7579999999</v>
      </c>
      <c r="R180" s="315"/>
      <c r="S180" s="104"/>
    </row>
    <row r="181" spans="1:20" ht="16.5" thickBot="1" x14ac:dyDescent="0.3">
      <c r="A181" s="227"/>
      <c r="B181" s="229"/>
      <c r="C181" s="227"/>
      <c r="D181" s="66" t="s">
        <v>4</v>
      </c>
      <c r="E181" s="9">
        <f>E180/E177</f>
        <v>0.17575674352859263</v>
      </c>
      <c r="F181" s="9">
        <v>-0.36185674074115831</v>
      </c>
      <c r="G181" s="9">
        <f t="shared" ref="G181:P181" si="35">G180/G177</f>
        <v>-0.74343524733275235</v>
      </c>
      <c r="H181" s="9">
        <f t="shared" si="35"/>
        <v>0.2074894259060592</v>
      </c>
      <c r="I181" s="9">
        <f t="shared" si="35"/>
        <v>-0.10556511428089393</v>
      </c>
      <c r="J181" s="9">
        <f t="shared" si="35"/>
        <v>-0.97857215316306578</v>
      </c>
      <c r="K181" s="9">
        <f t="shared" si="35"/>
        <v>-0.12985577083495942</v>
      </c>
      <c r="L181" s="9" t="e">
        <f t="shared" si="35"/>
        <v>#DIV/0!</v>
      </c>
      <c r="M181" s="9" t="e">
        <f t="shared" si="35"/>
        <v>#DIV/0!</v>
      </c>
      <c r="N181" s="9" t="e">
        <f t="shared" si="35"/>
        <v>#DIV/0!</v>
      </c>
      <c r="O181" s="9" t="e">
        <f t="shared" si="35"/>
        <v>#DIV/0!</v>
      </c>
      <c r="P181" s="9" t="e">
        <f t="shared" si="35"/>
        <v>#DIV/0!</v>
      </c>
      <c r="Q181" s="48">
        <f>Q180/Q177</f>
        <v>-1.1340300106355732</v>
      </c>
      <c r="R181" s="18"/>
      <c r="S181" s="105"/>
    </row>
    <row r="182" spans="1:20" ht="15.75" thickBot="1" x14ac:dyDescent="0.25">
      <c r="A182" s="6"/>
      <c r="B182" s="6"/>
      <c r="C182" s="75"/>
      <c r="D182" s="67" t="s">
        <v>26</v>
      </c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40"/>
      <c r="Q182" s="67"/>
      <c r="R182" s="36"/>
      <c r="S182" s="106"/>
    </row>
    <row r="183" spans="1:20" ht="15.75" hidden="1" outlineLevel="1" x14ac:dyDescent="0.25">
      <c r="A183" s="216" t="s">
        <v>37</v>
      </c>
      <c r="B183" s="213" t="s">
        <v>12</v>
      </c>
      <c r="C183" s="218" t="s">
        <v>38</v>
      </c>
      <c r="D183" s="77" t="s">
        <v>14</v>
      </c>
      <c r="E183" s="78"/>
      <c r="F183" s="78"/>
      <c r="G183" s="79">
        <v>774.5</v>
      </c>
      <c r="H183" s="260">
        <v>14412</v>
      </c>
      <c r="I183" s="80">
        <v>0</v>
      </c>
      <c r="J183" s="80">
        <v>454</v>
      </c>
      <c r="K183" s="80"/>
      <c r="L183" s="80"/>
      <c r="M183" s="80"/>
      <c r="N183" s="80"/>
      <c r="O183" s="80"/>
      <c r="P183" s="80"/>
      <c r="Q183" s="90">
        <f>+SUM(E183:P183)</f>
        <v>15640.5</v>
      </c>
      <c r="R183" s="301">
        <f>Q183/Q184</f>
        <v>0.31280999999999998</v>
      </c>
      <c r="S183" s="110">
        <v>0</v>
      </c>
    </row>
    <row r="184" spans="1:20" ht="16.5" hidden="1" outlineLevel="1" thickBot="1" x14ac:dyDescent="0.3">
      <c r="A184" s="217"/>
      <c r="B184" s="129"/>
      <c r="C184" s="219"/>
      <c r="D184" s="81" t="s">
        <v>1</v>
      </c>
      <c r="E184" s="88">
        <v>2500</v>
      </c>
      <c r="F184" s="88">
        <v>5000</v>
      </c>
      <c r="G184" s="88">
        <v>2500</v>
      </c>
      <c r="H184" s="88">
        <v>5000</v>
      </c>
      <c r="I184" s="88">
        <v>5000</v>
      </c>
      <c r="J184" s="88">
        <v>5000</v>
      </c>
      <c r="K184" s="88">
        <v>2500</v>
      </c>
      <c r="L184" s="88">
        <v>2500</v>
      </c>
      <c r="M184" s="88">
        <v>5000</v>
      </c>
      <c r="N184" s="88">
        <v>5000</v>
      </c>
      <c r="O184" s="88">
        <v>5000</v>
      </c>
      <c r="P184" s="88">
        <v>5000</v>
      </c>
      <c r="Q184" s="141">
        <f>SUM(E184:P184)</f>
        <v>50000</v>
      </c>
      <c r="R184" s="302"/>
      <c r="S184" s="109">
        <f>Q184/$Q$273</f>
        <v>3.1247070587132456E-3</v>
      </c>
    </row>
    <row r="185" spans="1:20" ht="15.75" hidden="1" outlineLevel="1" x14ac:dyDescent="0.25">
      <c r="A185" s="216" t="s">
        <v>37</v>
      </c>
      <c r="B185" s="213" t="s">
        <v>12</v>
      </c>
      <c r="C185" s="218" t="s">
        <v>119</v>
      </c>
      <c r="D185" s="77" t="s">
        <v>14</v>
      </c>
      <c r="E185" s="78">
        <v>33581.800000000003</v>
      </c>
      <c r="F185" s="78">
        <v>8950.6</v>
      </c>
      <c r="G185" s="79">
        <v>12453.590899999999</v>
      </c>
      <c r="H185" s="260">
        <v>9196.5935000000009</v>
      </c>
      <c r="I185" s="80">
        <v>31707.404500000001</v>
      </c>
      <c r="J185" s="80">
        <v>1004.68</v>
      </c>
      <c r="K185" s="80">
        <v>82790.87</v>
      </c>
      <c r="L185" s="80"/>
      <c r="M185" s="80"/>
      <c r="N185" s="80"/>
      <c r="O185" s="80"/>
      <c r="P185" s="80"/>
      <c r="Q185" s="90">
        <f>+SUM(E185:P185)</f>
        <v>179685.53889999999</v>
      </c>
      <c r="R185" s="301">
        <f>Q185/Q186</f>
        <v>0.59895179633333329</v>
      </c>
      <c r="S185" s="110">
        <v>0</v>
      </c>
    </row>
    <row r="186" spans="1:20" ht="16.5" hidden="1" outlineLevel="1" thickBot="1" x14ac:dyDescent="0.3">
      <c r="A186" s="217"/>
      <c r="B186" s="129"/>
      <c r="C186" s="219"/>
      <c r="D186" s="81" t="s">
        <v>1</v>
      </c>
      <c r="E186" s="88">
        <v>25000</v>
      </c>
      <c r="F186" s="88">
        <v>25000</v>
      </c>
      <c r="G186" s="88">
        <v>25000</v>
      </c>
      <c r="H186" s="88">
        <v>25000</v>
      </c>
      <c r="I186" s="88">
        <v>25000</v>
      </c>
      <c r="J186" s="88">
        <v>25000</v>
      </c>
      <c r="K186" s="88">
        <v>25000</v>
      </c>
      <c r="L186" s="88">
        <v>25000</v>
      </c>
      <c r="M186" s="88">
        <v>25000</v>
      </c>
      <c r="N186" s="88">
        <v>25000</v>
      </c>
      <c r="O186" s="88">
        <v>25000</v>
      </c>
      <c r="P186" s="88">
        <v>25000</v>
      </c>
      <c r="Q186" s="141">
        <f>SUM(E186:P186)</f>
        <v>300000</v>
      </c>
      <c r="R186" s="302"/>
      <c r="S186" s="109">
        <f>Q186/$Q$273</f>
        <v>1.8748242352279475E-2</v>
      </c>
    </row>
    <row r="187" spans="1:20" ht="15.75" hidden="1" outlineLevel="1" x14ac:dyDescent="0.25">
      <c r="A187" s="216" t="s">
        <v>37</v>
      </c>
      <c r="B187" s="213" t="s">
        <v>12</v>
      </c>
      <c r="C187" s="218" t="s">
        <v>40</v>
      </c>
      <c r="D187" s="77" t="s">
        <v>14</v>
      </c>
      <c r="E187" s="78">
        <v>10785</v>
      </c>
      <c r="F187" s="78">
        <v>68</v>
      </c>
      <c r="G187" s="79">
        <v>1272</v>
      </c>
      <c r="H187" s="260">
        <v>1918.75</v>
      </c>
      <c r="I187" s="80">
        <v>720</v>
      </c>
      <c r="J187" s="80">
        <v>716</v>
      </c>
      <c r="K187" s="80"/>
      <c r="L187" s="80"/>
      <c r="M187" s="80"/>
      <c r="N187" s="80"/>
      <c r="O187" s="80"/>
      <c r="P187" s="80"/>
      <c r="Q187" s="90">
        <f>+SUM(E187:P187)</f>
        <v>15479.75</v>
      </c>
      <c r="R187" s="301">
        <f>Q187/Q188</f>
        <v>0.41279333333333335</v>
      </c>
      <c r="S187" s="110">
        <v>0</v>
      </c>
    </row>
    <row r="188" spans="1:20" ht="16.5" hidden="1" outlineLevel="1" thickBot="1" x14ac:dyDescent="0.3">
      <c r="A188" s="217"/>
      <c r="B188" s="129"/>
      <c r="C188" s="219"/>
      <c r="D188" s="81" t="s">
        <v>1</v>
      </c>
      <c r="E188" s="88">
        <v>2500</v>
      </c>
      <c r="F188" s="88"/>
      <c r="G188" s="88">
        <v>5000</v>
      </c>
      <c r="H188" s="88">
        <v>5000</v>
      </c>
      <c r="I188" s="88">
        <v>5000</v>
      </c>
      <c r="J188" s="88">
        <v>2500</v>
      </c>
      <c r="K188" s="88"/>
      <c r="L188" s="88">
        <v>2500</v>
      </c>
      <c r="M188" s="88">
        <v>5000</v>
      </c>
      <c r="N188" s="88">
        <v>2500</v>
      </c>
      <c r="O188" s="88">
        <v>5000</v>
      </c>
      <c r="P188" s="88">
        <v>2500</v>
      </c>
      <c r="Q188" s="141">
        <f>SUM(E188:P188)</f>
        <v>37500</v>
      </c>
      <c r="R188" s="302"/>
      <c r="S188" s="109">
        <f>Q188/$Q$273</f>
        <v>2.3435302940349343E-3</v>
      </c>
    </row>
    <row r="189" spans="1:20" ht="15.75" hidden="1" outlineLevel="1" x14ac:dyDescent="0.25">
      <c r="A189" s="216" t="s">
        <v>37</v>
      </c>
      <c r="B189" s="213" t="s">
        <v>12</v>
      </c>
      <c r="C189" s="218" t="s">
        <v>118</v>
      </c>
      <c r="D189" s="77" t="s">
        <v>14</v>
      </c>
      <c r="E189" s="78">
        <v>46025</v>
      </c>
      <c r="F189" s="78">
        <v>37960.519999999997</v>
      </c>
      <c r="G189" s="79">
        <v>27111.1</v>
      </c>
      <c r="H189" s="260">
        <v>25436.44</v>
      </c>
      <c r="I189" s="80">
        <v>20023.14</v>
      </c>
      <c r="J189" s="80">
        <v>12137.36</v>
      </c>
      <c r="K189" s="80">
        <v>15593.34</v>
      </c>
      <c r="L189" s="80"/>
      <c r="M189" s="80"/>
      <c r="N189" s="80"/>
      <c r="O189" s="80"/>
      <c r="P189" s="80"/>
      <c r="Q189" s="90">
        <f>+SUM(E189:P189)</f>
        <v>184286.9</v>
      </c>
      <c r="R189" s="301">
        <f>Q189/Q190</f>
        <v>0.46071724999999997</v>
      </c>
      <c r="S189" s="110">
        <v>0</v>
      </c>
    </row>
    <row r="190" spans="1:20" ht="16.5" hidden="1" outlineLevel="1" thickBot="1" x14ac:dyDescent="0.3">
      <c r="A190" s="217"/>
      <c r="B190" s="129"/>
      <c r="C190" s="219"/>
      <c r="D190" s="81" t="s">
        <v>1</v>
      </c>
      <c r="E190" s="88">
        <v>40000</v>
      </c>
      <c r="F190" s="88">
        <v>35000</v>
      </c>
      <c r="G190" s="88">
        <v>40000</v>
      </c>
      <c r="H190" s="88">
        <v>30000</v>
      </c>
      <c r="I190" s="88">
        <v>40000</v>
      </c>
      <c r="J190" s="88">
        <v>20000</v>
      </c>
      <c r="K190" s="88">
        <v>20000</v>
      </c>
      <c r="L190" s="88">
        <v>35000</v>
      </c>
      <c r="M190" s="88">
        <v>30000</v>
      </c>
      <c r="N190" s="88">
        <v>40000</v>
      </c>
      <c r="O190" s="88">
        <v>20000</v>
      </c>
      <c r="P190" s="88">
        <v>50000</v>
      </c>
      <c r="Q190" s="141">
        <f>SUM(E190:P190)</f>
        <v>400000</v>
      </c>
      <c r="R190" s="302"/>
      <c r="S190" s="109">
        <f>Q190/$Q$273</f>
        <v>2.4997656469705965E-2</v>
      </c>
    </row>
    <row r="191" spans="1:20" ht="15.75" hidden="1" outlineLevel="1" x14ac:dyDescent="0.25">
      <c r="A191" s="216" t="s">
        <v>37</v>
      </c>
      <c r="B191" s="213" t="s">
        <v>12</v>
      </c>
      <c r="C191" s="218" t="s">
        <v>30</v>
      </c>
      <c r="D191" s="77" t="s">
        <v>14</v>
      </c>
      <c r="E191" s="78">
        <v>21379.41</v>
      </c>
      <c r="F191" s="78">
        <v>17045.099999999999</v>
      </c>
      <c r="G191" s="79">
        <v>15778.2853</v>
      </c>
      <c r="H191" s="260">
        <v>14211.645500000001</v>
      </c>
      <c r="I191" s="80">
        <v>17653.580000000002</v>
      </c>
      <c r="J191" s="80">
        <v>10081.25</v>
      </c>
      <c r="K191" s="80">
        <v>19743.55</v>
      </c>
      <c r="L191" s="80"/>
      <c r="M191" s="80"/>
      <c r="N191" s="80"/>
      <c r="O191" s="80"/>
      <c r="P191" s="80"/>
      <c r="Q191" s="90">
        <f>+SUM(E191:P191)</f>
        <v>115892.8208</v>
      </c>
      <c r="R191" s="301">
        <f>Q191/Q192</f>
        <v>0.38630940266666669</v>
      </c>
      <c r="S191" s="110">
        <v>0</v>
      </c>
    </row>
    <row r="192" spans="1:20" ht="16.5" hidden="1" outlineLevel="1" thickBot="1" x14ac:dyDescent="0.3">
      <c r="A192" s="217"/>
      <c r="B192" s="129"/>
      <c r="C192" s="219"/>
      <c r="D192" s="81" t="s">
        <v>1</v>
      </c>
      <c r="E192" s="102">
        <v>25000</v>
      </c>
      <c r="F192" s="102">
        <v>25000</v>
      </c>
      <c r="G192" s="102">
        <v>25000</v>
      </c>
      <c r="H192" s="102">
        <v>25000</v>
      </c>
      <c r="I192" s="102">
        <v>25000</v>
      </c>
      <c r="J192" s="102">
        <v>25000</v>
      </c>
      <c r="K192" s="102">
        <v>25000</v>
      </c>
      <c r="L192" s="102">
        <v>25000</v>
      </c>
      <c r="M192" s="102">
        <v>25000</v>
      </c>
      <c r="N192" s="102">
        <v>25000</v>
      </c>
      <c r="O192" s="102">
        <v>25000</v>
      </c>
      <c r="P192" s="102">
        <v>25000</v>
      </c>
      <c r="Q192" s="141">
        <f>SUM(E192:P192)</f>
        <v>300000</v>
      </c>
      <c r="R192" s="302"/>
      <c r="S192" s="109">
        <f>Q192/$Q$273</f>
        <v>1.8748242352279475E-2</v>
      </c>
    </row>
    <row r="193" spans="1:20" ht="15.75" hidden="1" outlineLevel="1" x14ac:dyDescent="0.25">
      <c r="A193" s="216" t="s">
        <v>37</v>
      </c>
      <c r="B193" s="213" t="s">
        <v>12</v>
      </c>
      <c r="C193" s="218" t="s">
        <v>45</v>
      </c>
      <c r="D193" s="77" t="s">
        <v>14</v>
      </c>
      <c r="E193" s="78">
        <v>23576.29</v>
      </c>
      <c r="F193" s="78">
        <v>34569.47</v>
      </c>
      <c r="G193" s="79">
        <v>24825</v>
      </c>
      <c r="H193" s="260">
        <v>28253.39</v>
      </c>
      <c r="I193" s="80">
        <v>11021.9</v>
      </c>
      <c r="J193" s="80">
        <v>41370.68</v>
      </c>
      <c r="K193" s="80">
        <v>32729.5</v>
      </c>
      <c r="L193" s="80"/>
      <c r="M193" s="80"/>
      <c r="N193" s="80"/>
      <c r="O193" s="80"/>
      <c r="P193" s="80"/>
      <c r="Q193" s="90">
        <f>+SUM(E193:P193)</f>
        <v>196346.23</v>
      </c>
      <c r="R193" s="301">
        <f>Q193/Q194</f>
        <v>0.85367926086956525</v>
      </c>
      <c r="S193" s="110" t="e">
        <v>#REF!</v>
      </c>
    </row>
    <row r="194" spans="1:20" ht="16.5" hidden="1" outlineLevel="1" thickBot="1" x14ac:dyDescent="0.3">
      <c r="A194" s="217"/>
      <c r="B194" s="129"/>
      <c r="C194" s="219"/>
      <c r="D194" s="81" t="s">
        <v>1</v>
      </c>
      <c r="E194" s="88">
        <v>20000</v>
      </c>
      <c r="F194" s="88">
        <v>20000</v>
      </c>
      <c r="G194" s="88">
        <v>20000</v>
      </c>
      <c r="H194" s="88">
        <v>20000</v>
      </c>
      <c r="I194" s="88">
        <v>20000</v>
      </c>
      <c r="J194" s="88">
        <v>20000</v>
      </c>
      <c r="K194" s="88">
        <v>10000</v>
      </c>
      <c r="L194" s="88">
        <v>20000</v>
      </c>
      <c r="M194" s="88">
        <v>20000</v>
      </c>
      <c r="N194" s="88">
        <v>20000</v>
      </c>
      <c r="O194" s="88">
        <v>20000</v>
      </c>
      <c r="P194" s="88">
        <v>20000</v>
      </c>
      <c r="Q194" s="141">
        <f>SUM(E194:P194)</f>
        <v>230000</v>
      </c>
      <c r="R194" s="302"/>
      <c r="S194" s="109">
        <f>Q194/$Q$273</f>
        <v>1.437365247008093E-2</v>
      </c>
    </row>
    <row r="195" spans="1:20" ht="17.25" collapsed="1" thickTop="1" thickBot="1" x14ac:dyDescent="0.25">
      <c r="A195" s="226" t="s">
        <v>37</v>
      </c>
      <c r="B195" s="228" t="s">
        <v>0</v>
      </c>
      <c r="C195" s="226" t="s">
        <v>0</v>
      </c>
      <c r="D195" s="56" t="s">
        <v>14</v>
      </c>
      <c r="E195" s="37">
        <f>SUM(E193+E191+E189+E187+E185+E183)</f>
        <v>135347.5</v>
      </c>
      <c r="F195" s="37">
        <f t="shared" ref="F195:P195" si="36">SUM(F193+F191+F189+F187+F185+F183)</f>
        <v>98593.69</v>
      </c>
      <c r="G195" s="37">
        <f t="shared" si="36"/>
        <v>82214.47619999999</v>
      </c>
      <c r="H195" s="37">
        <f t="shared" si="36"/>
        <v>93428.819000000003</v>
      </c>
      <c r="I195" s="37">
        <f t="shared" si="36"/>
        <v>81126.0245</v>
      </c>
      <c r="J195" s="37">
        <f t="shared" si="36"/>
        <v>65763.97</v>
      </c>
      <c r="K195" s="37">
        <f t="shared" si="36"/>
        <v>150857.26</v>
      </c>
      <c r="L195" s="37">
        <f t="shared" si="36"/>
        <v>0</v>
      </c>
      <c r="M195" s="37">
        <f t="shared" si="36"/>
        <v>0</v>
      </c>
      <c r="N195" s="37">
        <f t="shared" si="36"/>
        <v>0</v>
      </c>
      <c r="O195" s="37">
        <f t="shared" si="36"/>
        <v>0</v>
      </c>
      <c r="P195" s="37">
        <f t="shared" si="36"/>
        <v>0</v>
      </c>
      <c r="Q195" s="37">
        <f>SUM(Q193+Q191+Q189+Q187+Q185+Q183)</f>
        <v>707331.73970000003</v>
      </c>
      <c r="R195" s="315">
        <f>Q195/Q196</f>
        <v>0.53687418573055035</v>
      </c>
      <c r="S195" s="110" t="e">
        <v>#DIV/0!</v>
      </c>
      <c r="T195" s="130"/>
    </row>
    <row r="196" spans="1:20" ht="17.25" thickTop="1" thickBot="1" x14ac:dyDescent="0.3">
      <c r="A196" s="227"/>
      <c r="B196" s="229"/>
      <c r="C196" s="227"/>
      <c r="D196" s="64" t="s">
        <v>143</v>
      </c>
      <c r="E196" s="11">
        <f>SUM(E194+E192+E190+E188+E186+E184)</f>
        <v>115000</v>
      </c>
      <c r="F196" s="11">
        <f t="shared" ref="F196:P196" si="37">SUM(F194+F192+F190+F188+F186+F184)</f>
        <v>110000</v>
      </c>
      <c r="G196" s="11">
        <f t="shared" si="37"/>
        <v>117500</v>
      </c>
      <c r="H196" s="11">
        <f t="shared" si="37"/>
        <v>110000</v>
      </c>
      <c r="I196" s="11">
        <f t="shared" si="37"/>
        <v>120000</v>
      </c>
      <c r="J196" s="11">
        <f t="shared" si="37"/>
        <v>97500</v>
      </c>
      <c r="K196" s="11">
        <f t="shared" si="37"/>
        <v>82500</v>
      </c>
      <c r="L196" s="11">
        <f t="shared" si="37"/>
        <v>110000</v>
      </c>
      <c r="M196" s="11">
        <f t="shared" si="37"/>
        <v>110000</v>
      </c>
      <c r="N196" s="11">
        <f t="shared" si="37"/>
        <v>117500</v>
      </c>
      <c r="O196" s="11">
        <f t="shared" si="37"/>
        <v>100000</v>
      </c>
      <c r="P196" s="11">
        <f t="shared" si="37"/>
        <v>127500</v>
      </c>
      <c r="Q196" s="11">
        <f>SUM(Q194+Q192+Q190+Q188+Q186+Q184)</f>
        <v>1317500</v>
      </c>
      <c r="R196" s="315"/>
      <c r="S196" s="109">
        <f>Q196/$Q$273</f>
        <v>8.2336030997094023E-2</v>
      </c>
    </row>
    <row r="197" spans="1:20" ht="17.25" thickTop="1" thickBot="1" x14ac:dyDescent="0.3">
      <c r="A197" s="227"/>
      <c r="B197" s="229"/>
      <c r="C197" s="227"/>
      <c r="D197" s="57" t="s">
        <v>2</v>
      </c>
      <c r="E197" s="8">
        <f t="shared" ref="E197:P197" si="38">E195/E196</f>
        <v>1.1769347826086956</v>
      </c>
      <c r="F197" s="8">
        <v>0.87503631442953023</v>
      </c>
      <c r="G197" s="8">
        <f t="shared" si="38"/>
        <v>0.69969766978723391</v>
      </c>
      <c r="H197" s="8">
        <f t="shared" si="38"/>
        <v>0.84935290000000008</v>
      </c>
      <c r="I197" s="8">
        <f t="shared" si="38"/>
        <v>0.67605020416666661</v>
      </c>
      <c r="J197" s="8">
        <f t="shared" si="38"/>
        <v>0.67450225641025641</v>
      </c>
      <c r="K197" s="8">
        <f t="shared" si="38"/>
        <v>1.8285728484848487</v>
      </c>
      <c r="L197" s="8">
        <f t="shared" si="38"/>
        <v>0</v>
      </c>
      <c r="M197" s="8">
        <f t="shared" si="38"/>
        <v>0</v>
      </c>
      <c r="N197" s="8">
        <f t="shared" si="38"/>
        <v>0</v>
      </c>
      <c r="O197" s="8">
        <f t="shared" si="38"/>
        <v>0</v>
      </c>
      <c r="P197" s="133">
        <f t="shared" si="38"/>
        <v>0</v>
      </c>
      <c r="Q197" s="46">
        <f>Q195/Q196</f>
        <v>0.53687418573055035</v>
      </c>
      <c r="R197" s="315"/>
      <c r="S197" s="103"/>
    </row>
    <row r="198" spans="1:20" ht="17.25" thickTop="1" thickBot="1" x14ac:dyDescent="0.3">
      <c r="A198" s="227"/>
      <c r="B198" s="229"/>
      <c r="C198" s="227"/>
      <c r="D198" s="68" t="s">
        <v>3</v>
      </c>
      <c r="E198" s="10">
        <f t="shared" ref="E198:P198" si="39">E195-E196</f>
        <v>20347.5</v>
      </c>
      <c r="F198" s="10">
        <v>-37239.1783</v>
      </c>
      <c r="G198" s="10">
        <f t="shared" si="39"/>
        <v>-35285.52380000001</v>
      </c>
      <c r="H198" s="10">
        <f t="shared" si="39"/>
        <v>-16571.180999999997</v>
      </c>
      <c r="I198" s="10">
        <f t="shared" si="39"/>
        <v>-38873.9755</v>
      </c>
      <c r="J198" s="10">
        <f t="shared" si="39"/>
        <v>-31736.03</v>
      </c>
      <c r="K198" s="10">
        <f t="shared" si="39"/>
        <v>68357.260000000009</v>
      </c>
      <c r="L198" s="10">
        <f t="shared" si="39"/>
        <v>-110000</v>
      </c>
      <c r="M198" s="10">
        <f t="shared" si="39"/>
        <v>-110000</v>
      </c>
      <c r="N198" s="10">
        <f t="shared" si="39"/>
        <v>-117500</v>
      </c>
      <c r="O198" s="10">
        <f t="shared" si="39"/>
        <v>-100000</v>
      </c>
      <c r="P198" s="10">
        <f t="shared" si="39"/>
        <v>-127500</v>
      </c>
      <c r="Q198" s="49">
        <f>Q195-Q196</f>
        <v>-610168.26029999997</v>
      </c>
      <c r="R198" s="315"/>
      <c r="S198" s="104"/>
    </row>
    <row r="199" spans="1:20" ht="16.5" thickBot="1" x14ac:dyDescent="0.3">
      <c r="A199" s="227"/>
      <c r="B199" s="229"/>
      <c r="C199" s="227"/>
      <c r="D199" s="66" t="s">
        <v>4</v>
      </c>
      <c r="E199" s="9">
        <f t="shared" ref="E199:P199" si="40">E198/E195</f>
        <v>0.15033524815752045</v>
      </c>
      <c r="F199" s="9">
        <v>-0.14280971373392479</v>
      </c>
      <c r="G199" s="9">
        <f t="shared" si="40"/>
        <v>-0.42918869560346373</v>
      </c>
      <c r="H199" s="9">
        <f t="shared" si="40"/>
        <v>-0.17736691073875177</v>
      </c>
      <c r="I199" s="9">
        <f t="shared" si="40"/>
        <v>-0.47918008727273453</v>
      </c>
      <c r="J199" s="9">
        <f t="shared" si="40"/>
        <v>-0.482574728989141</v>
      </c>
      <c r="K199" s="9">
        <f t="shared" si="40"/>
        <v>0.45312542465639377</v>
      </c>
      <c r="L199" s="9" t="e">
        <f t="shared" si="40"/>
        <v>#DIV/0!</v>
      </c>
      <c r="M199" s="9" t="e">
        <f t="shared" si="40"/>
        <v>#DIV/0!</v>
      </c>
      <c r="N199" s="9" t="e">
        <f t="shared" si="40"/>
        <v>#DIV/0!</v>
      </c>
      <c r="O199" s="9" t="e">
        <f t="shared" si="40"/>
        <v>#DIV/0!</v>
      </c>
      <c r="P199" s="9" t="e">
        <f t="shared" si="40"/>
        <v>#DIV/0!</v>
      </c>
      <c r="Q199" s="48">
        <f>Q198/Q195</f>
        <v>-0.86263379126573636</v>
      </c>
      <c r="R199" s="18"/>
      <c r="S199" s="105"/>
    </row>
    <row r="200" spans="1:20" ht="15.75" thickBot="1" x14ac:dyDescent="0.25">
      <c r="A200" s="6"/>
      <c r="B200" s="6"/>
      <c r="C200" s="75"/>
      <c r="D200" s="67" t="s">
        <v>26</v>
      </c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40"/>
      <c r="Q200" s="67"/>
      <c r="R200" s="36"/>
      <c r="S200" s="106"/>
    </row>
    <row r="201" spans="1:20" ht="15.75" hidden="1" outlineLevel="1" x14ac:dyDescent="0.25">
      <c r="A201" s="261" t="s">
        <v>50</v>
      </c>
      <c r="B201" s="213" t="s">
        <v>12</v>
      </c>
      <c r="C201" s="222" t="s">
        <v>52</v>
      </c>
      <c r="D201" s="77" t="s">
        <v>14</v>
      </c>
      <c r="E201" s="78">
        <v>57461</v>
      </c>
      <c r="F201" s="78">
        <v>19703</v>
      </c>
      <c r="G201" s="79">
        <v>18574</v>
      </c>
      <c r="H201" s="260">
        <v>45674</v>
      </c>
      <c r="I201" s="80">
        <v>25041.5</v>
      </c>
      <c r="J201" s="80">
        <v>16342</v>
      </c>
      <c r="K201" s="80">
        <v>44337</v>
      </c>
      <c r="L201" s="80"/>
      <c r="M201" s="80"/>
      <c r="N201" s="80"/>
      <c r="O201" s="80"/>
      <c r="P201" s="80"/>
      <c r="Q201" s="90">
        <f>+SUM(E201:P201)</f>
        <v>227132.5</v>
      </c>
      <c r="R201" s="301">
        <f>Q201/Q202</f>
        <v>0.53442941176470593</v>
      </c>
      <c r="S201" s="110">
        <v>0</v>
      </c>
    </row>
    <row r="202" spans="1:20" ht="16.5" hidden="1" outlineLevel="1" thickBot="1" x14ac:dyDescent="0.3">
      <c r="A202" s="262"/>
      <c r="B202" s="129"/>
      <c r="C202" s="223"/>
      <c r="D202" s="81" t="s">
        <v>1</v>
      </c>
      <c r="E202" s="88">
        <v>20000</v>
      </c>
      <c r="F202" s="88">
        <v>45000</v>
      </c>
      <c r="G202" s="88">
        <v>35000</v>
      </c>
      <c r="H202" s="88">
        <v>25000</v>
      </c>
      <c r="I202" s="88">
        <v>40000</v>
      </c>
      <c r="J202" s="88">
        <v>40000</v>
      </c>
      <c r="K202" s="88">
        <v>30000</v>
      </c>
      <c r="L202" s="88">
        <v>30000</v>
      </c>
      <c r="M202" s="88">
        <v>45000</v>
      </c>
      <c r="N202" s="88">
        <v>35000</v>
      </c>
      <c r="O202" s="88">
        <v>45000</v>
      </c>
      <c r="P202" s="88">
        <v>35000</v>
      </c>
      <c r="Q202" s="141">
        <f>SUM(E202:P202)</f>
        <v>425000</v>
      </c>
      <c r="R202" s="302"/>
      <c r="S202" s="109">
        <f>Q202/$Q$273</f>
        <v>2.6560009999062589E-2</v>
      </c>
    </row>
    <row r="203" spans="1:20" ht="15.75" hidden="1" outlineLevel="1" x14ac:dyDescent="0.25">
      <c r="A203" s="261" t="s">
        <v>50</v>
      </c>
      <c r="B203" s="213" t="s">
        <v>12</v>
      </c>
      <c r="C203" s="222" t="s">
        <v>53</v>
      </c>
      <c r="D203" s="77" t="s">
        <v>14</v>
      </c>
      <c r="E203" s="125">
        <v>118686.77</v>
      </c>
      <c r="F203" s="78">
        <v>49118.570099999997</v>
      </c>
      <c r="G203" s="79">
        <v>30806.995999999999</v>
      </c>
      <c r="H203" s="260">
        <v>50395.005100000002</v>
      </c>
      <c r="I203" s="80">
        <v>80818.095100000006</v>
      </c>
      <c r="J203" s="80">
        <v>613262.44999999995</v>
      </c>
      <c r="K203" s="80">
        <v>7590.91</v>
      </c>
      <c r="L203" s="80"/>
      <c r="M203" s="80"/>
      <c r="N203" s="80"/>
      <c r="O203" s="80"/>
      <c r="P203" s="80"/>
      <c r="Q203" s="90">
        <f>+SUM(E203:P203)</f>
        <v>950678.79630000005</v>
      </c>
      <c r="R203" s="301">
        <f>Q203/Q204</f>
        <v>0.63378586420000005</v>
      </c>
      <c r="S203" s="110">
        <v>0</v>
      </c>
    </row>
    <row r="204" spans="1:20" ht="16.5" hidden="1" outlineLevel="1" thickBot="1" x14ac:dyDescent="0.3">
      <c r="A204" s="262"/>
      <c r="B204" s="129"/>
      <c r="C204" s="223"/>
      <c r="D204" s="81" t="s">
        <v>1</v>
      </c>
      <c r="E204" s="88">
        <v>120000</v>
      </c>
      <c r="F204" s="88">
        <v>70000</v>
      </c>
      <c r="G204" s="88">
        <v>30000</v>
      </c>
      <c r="H204" s="88">
        <v>50000</v>
      </c>
      <c r="I204" s="88">
        <v>40000</v>
      </c>
      <c r="J204" s="88">
        <v>50000</v>
      </c>
      <c r="K204" s="88">
        <v>180000</v>
      </c>
      <c r="L204" s="88">
        <v>185000</v>
      </c>
      <c r="M204" s="88">
        <v>250000</v>
      </c>
      <c r="N204" s="88">
        <v>225000</v>
      </c>
      <c r="O204" s="88">
        <v>150000</v>
      </c>
      <c r="P204" s="88">
        <v>150000</v>
      </c>
      <c r="Q204" s="141">
        <f>SUM(E204:P204)</f>
        <v>1500000</v>
      </c>
      <c r="R204" s="302"/>
      <c r="S204" s="109">
        <f>Q204/$Q$273</f>
        <v>9.3741211761397367E-2</v>
      </c>
    </row>
    <row r="205" spans="1:20" ht="15.75" hidden="1" outlineLevel="1" x14ac:dyDescent="0.25">
      <c r="A205" s="261" t="s">
        <v>50</v>
      </c>
      <c r="B205" s="213" t="s">
        <v>12</v>
      </c>
      <c r="C205" s="222" t="s">
        <v>112</v>
      </c>
      <c r="D205" s="77" t="s">
        <v>14</v>
      </c>
      <c r="E205" s="78">
        <v>6988</v>
      </c>
      <c r="F205" s="78">
        <v>7250</v>
      </c>
      <c r="G205" s="79">
        <v>5225.3635999999997</v>
      </c>
      <c r="H205" s="260">
        <v>1769</v>
      </c>
      <c r="I205" s="80">
        <v>2570</v>
      </c>
      <c r="J205" s="80">
        <v>1546</v>
      </c>
      <c r="K205" s="80">
        <v>3896.5</v>
      </c>
      <c r="L205" s="80"/>
      <c r="M205" s="80"/>
      <c r="N205" s="80"/>
      <c r="O205" s="80"/>
      <c r="P205" s="80"/>
      <c r="Q205" s="90">
        <f>+SUM(E205:P205)</f>
        <v>29244.863600000001</v>
      </c>
      <c r="R205" s="301">
        <f>Q205/Q206</f>
        <v>9.7482878666666675E-2</v>
      </c>
      <c r="S205" s="110">
        <v>0</v>
      </c>
    </row>
    <row r="206" spans="1:20" ht="16.5" hidden="1" outlineLevel="1" thickBot="1" x14ac:dyDescent="0.3">
      <c r="A206" s="262"/>
      <c r="B206" s="129"/>
      <c r="C206" s="223"/>
      <c r="D206" s="81" t="s">
        <v>1</v>
      </c>
      <c r="E206" s="101"/>
      <c r="F206" s="101"/>
      <c r="G206" s="101"/>
      <c r="H206" s="101"/>
      <c r="I206" s="101"/>
      <c r="J206" s="101"/>
      <c r="K206" s="101">
        <v>25000</v>
      </c>
      <c r="L206" s="101">
        <v>35000</v>
      </c>
      <c r="M206" s="101">
        <v>50000</v>
      </c>
      <c r="N206" s="101">
        <v>50000</v>
      </c>
      <c r="O206" s="101">
        <v>70000</v>
      </c>
      <c r="P206" s="101">
        <v>70000</v>
      </c>
      <c r="Q206" s="141">
        <f>SUM(E206:P206)</f>
        <v>300000</v>
      </c>
      <c r="R206" s="302"/>
      <c r="S206" s="109">
        <f>Q206/$Q$273</f>
        <v>1.8748242352279475E-2</v>
      </c>
    </row>
    <row r="207" spans="1:20" ht="15.75" hidden="1" outlineLevel="1" x14ac:dyDescent="0.25">
      <c r="A207" s="261" t="s">
        <v>50</v>
      </c>
      <c r="B207" s="213" t="s">
        <v>12</v>
      </c>
      <c r="C207" s="222" t="s">
        <v>71</v>
      </c>
      <c r="D207" s="77" t="s">
        <v>14</v>
      </c>
      <c r="E207" s="78"/>
      <c r="F207" s="78"/>
      <c r="G207" s="79">
        <v>514</v>
      </c>
      <c r="H207" s="260">
        <v>530</v>
      </c>
      <c r="I207" s="80">
        <v>13615</v>
      </c>
      <c r="J207" s="80">
        <v>477</v>
      </c>
      <c r="K207" s="80">
        <v>10015</v>
      </c>
      <c r="L207" s="80"/>
      <c r="M207" s="80"/>
      <c r="N207" s="80"/>
      <c r="O207" s="80"/>
      <c r="P207" s="80"/>
      <c r="Q207" s="90">
        <f>+SUM(E207:P207)</f>
        <v>25151</v>
      </c>
      <c r="R207" s="301">
        <f>Q207/Q208</f>
        <v>0.16767333333333334</v>
      </c>
      <c r="S207" s="110">
        <v>0</v>
      </c>
    </row>
    <row r="208" spans="1:20" ht="16.5" hidden="1" outlineLevel="1" thickBot="1" x14ac:dyDescent="0.3">
      <c r="A208" s="262"/>
      <c r="B208" s="129"/>
      <c r="C208" s="223"/>
      <c r="D208" s="81" t="s">
        <v>1</v>
      </c>
      <c r="E208" s="88"/>
      <c r="F208" s="88"/>
      <c r="G208" s="88"/>
      <c r="H208" s="88">
        <v>10000</v>
      </c>
      <c r="I208" s="88">
        <v>10000</v>
      </c>
      <c r="J208" s="88">
        <v>10000</v>
      </c>
      <c r="K208" s="88">
        <v>35000</v>
      </c>
      <c r="L208" s="88">
        <v>35000</v>
      </c>
      <c r="M208" s="88">
        <v>35000</v>
      </c>
      <c r="N208" s="88">
        <v>5000</v>
      </c>
      <c r="O208" s="88">
        <v>5000</v>
      </c>
      <c r="P208" s="88">
        <v>5000</v>
      </c>
      <c r="Q208" s="141">
        <f>SUM(E208:P208)</f>
        <v>150000</v>
      </c>
      <c r="R208" s="302"/>
      <c r="S208" s="109">
        <f>Q208/$Q$273</f>
        <v>9.3741211761397374E-3</v>
      </c>
    </row>
    <row r="209" spans="1:20" ht="16.5" hidden="1" outlineLevel="1" thickBot="1" x14ac:dyDescent="0.3">
      <c r="A209" s="216" t="s">
        <v>50</v>
      </c>
      <c r="B209" s="213" t="s">
        <v>36</v>
      </c>
      <c r="C209" s="214" t="s">
        <v>56</v>
      </c>
      <c r="D209" s="77" t="s">
        <v>14</v>
      </c>
      <c r="E209" s="78">
        <v>-5794</v>
      </c>
      <c r="F209" s="78">
        <v>1575.5</v>
      </c>
      <c r="G209" s="79">
        <v>577.12</v>
      </c>
      <c r="H209" s="260">
        <v>-170</v>
      </c>
      <c r="I209" s="78">
        <v>1657.41</v>
      </c>
      <c r="J209" s="78"/>
      <c r="K209" s="78">
        <v>2</v>
      </c>
      <c r="L209" s="78"/>
      <c r="M209" s="78"/>
      <c r="N209" s="244"/>
      <c r="O209" s="78"/>
      <c r="P209" s="78"/>
      <c r="Q209" s="90">
        <f>+SUM(E209:P209)</f>
        <v>-2151.9700000000003</v>
      </c>
      <c r="R209" s="311" t="e">
        <f>Q209/Q210</f>
        <v>#DIV/0!</v>
      </c>
      <c r="S209" s="110">
        <v>0</v>
      </c>
    </row>
    <row r="210" spans="1:20" ht="15.75" hidden="1" outlineLevel="1" x14ac:dyDescent="0.25">
      <c r="A210" s="217"/>
      <c r="B210" s="129"/>
      <c r="C210" s="215"/>
      <c r="D210" s="84" t="s">
        <v>25</v>
      </c>
      <c r="E210" s="144"/>
      <c r="F210" s="144"/>
      <c r="G210" s="144"/>
      <c r="H210" s="144"/>
      <c r="I210" s="144"/>
      <c r="J210" s="144"/>
      <c r="K210" s="144"/>
      <c r="L210" s="144"/>
      <c r="M210" s="144"/>
      <c r="N210" s="243"/>
      <c r="O210" s="144"/>
      <c r="P210" s="144"/>
      <c r="Q210" s="91">
        <f>SUM(E210:P210)</f>
        <v>0</v>
      </c>
      <c r="R210" s="312"/>
      <c r="S210" s="109">
        <f>Q210/$Q$273</f>
        <v>0</v>
      </c>
    </row>
    <row r="211" spans="1:20" ht="16.5" hidden="1" outlineLevel="1" thickBot="1" x14ac:dyDescent="0.3">
      <c r="A211" s="129"/>
      <c r="B211" s="129"/>
      <c r="C211" s="215"/>
      <c r="D211" s="81" t="s">
        <v>1</v>
      </c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92">
        <f>SUM(E211:P211)</f>
        <v>0</v>
      </c>
      <c r="R211" s="312"/>
      <c r="S211" s="127"/>
    </row>
    <row r="212" spans="1:20" ht="16.5" collapsed="1" thickBot="1" x14ac:dyDescent="0.25">
      <c r="A212" s="226" t="s">
        <v>50</v>
      </c>
      <c r="B212" s="228" t="s">
        <v>0</v>
      </c>
      <c r="C212" s="226" t="s">
        <v>0</v>
      </c>
      <c r="D212" s="56" t="s">
        <v>14</v>
      </c>
      <c r="E212" s="89">
        <f t="shared" ref="E212:Q212" si="41">E209+E207+E205+E203+E201+E153+E210</f>
        <v>180699.27000000002</v>
      </c>
      <c r="F212" s="89">
        <f t="shared" si="41"/>
        <v>83114.320099999997</v>
      </c>
      <c r="G212" s="89">
        <f t="shared" si="41"/>
        <v>58931.479599999999</v>
      </c>
      <c r="H212" s="89">
        <f>H210+H209+H207+H205+H203+H201</f>
        <v>98198.005100000009</v>
      </c>
      <c r="I212" s="89">
        <f t="shared" ref="I212:P212" si="42">I210+I209+I207+I205+I203+I201</f>
        <v>123702.00510000001</v>
      </c>
      <c r="J212" s="89">
        <f t="shared" si="42"/>
        <v>631627.44999999995</v>
      </c>
      <c r="K212" s="89">
        <f t="shared" si="42"/>
        <v>65841.41</v>
      </c>
      <c r="L212" s="89">
        <f t="shared" si="42"/>
        <v>0</v>
      </c>
      <c r="M212" s="89">
        <f t="shared" si="42"/>
        <v>0</v>
      </c>
      <c r="N212" s="89">
        <f t="shared" si="42"/>
        <v>0</v>
      </c>
      <c r="O212" s="89">
        <f t="shared" si="42"/>
        <v>0</v>
      </c>
      <c r="P212" s="89">
        <f t="shared" si="42"/>
        <v>0</v>
      </c>
      <c r="Q212" s="89">
        <f t="shared" si="41"/>
        <v>1261602.6899000001</v>
      </c>
      <c r="R212" s="316">
        <f>Q212/Q213</f>
        <v>0.53120113258947377</v>
      </c>
      <c r="S212" s="111" t="e">
        <v>#DIV/0!</v>
      </c>
      <c r="T212" s="130"/>
    </row>
    <row r="213" spans="1:20" ht="17.25" thickTop="1" thickBot="1" x14ac:dyDescent="0.3">
      <c r="A213" s="227"/>
      <c r="B213" s="229"/>
      <c r="C213" s="227"/>
      <c r="D213" s="64" t="s">
        <v>143</v>
      </c>
      <c r="E213" s="7">
        <f>SUM(E211+E208+E206+E204+E202)</f>
        <v>140000</v>
      </c>
      <c r="F213" s="7">
        <f t="shared" ref="F213:P213" si="43">SUM(F211+F208+F206+F204+F202)</f>
        <v>115000</v>
      </c>
      <c r="G213" s="7">
        <f t="shared" si="43"/>
        <v>65000</v>
      </c>
      <c r="H213" s="7">
        <f t="shared" si="43"/>
        <v>85000</v>
      </c>
      <c r="I213" s="7">
        <f t="shared" si="43"/>
        <v>90000</v>
      </c>
      <c r="J213" s="7">
        <f t="shared" si="43"/>
        <v>100000</v>
      </c>
      <c r="K213" s="7">
        <f t="shared" si="43"/>
        <v>270000</v>
      </c>
      <c r="L213" s="7">
        <f t="shared" si="43"/>
        <v>285000</v>
      </c>
      <c r="M213" s="7">
        <f t="shared" si="43"/>
        <v>380000</v>
      </c>
      <c r="N213" s="7">
        <f t="shared" si="43"/>
        <v>315000</v>
      </c>
      <c r="O213" s="7">
        <f t="shared" si="43"/>
        <v>270000</v>
      </c>
      <c r="P213" s="7">
        <f t="shared" si="43"/>
        <v>260000</v>
      </c>
      <c r="Q213" s="7">
        <f>Q211+Q208+Q206+Q204+Q202</f>
        <v>2375000</v>
      </c>
      <c r="R213" s="315"/>
      <c r="S213" s="109">
        <f>Q213/$Q$273</f>
        <v>0.14842358528887917</v>
      </c>
    </row>
    <row r="214" spans="1:20" ht="17.25" thickTop="1" thickBot="1" x14ac:dyDescent="0.3">
      <c r="A214" s="227"/>
      <c r="B214" s="229"/>
      <c r="C214" s="227"/>
      <c r="D214" s="57" t="s">
        <v>2</v>
      </c>
      <c r="E214" s="8">
        <f>E212/E213</f>
        <v>1.2907090714285716</v>
      </c>
      <c r="F214" s="8">
        <v>0.5037231521212121</v>
      </c>
      <c r="G214" s="8">
        <f t="shared" ref="G214:P214" si="44">G212/G213</f>
        <v>0.90663814769230766</v>
      </c>
      <c r="H214" s="8">
        <f t="shared" si="44"/>
        <v>1.1552706482352941</v>
      </c>
      <c r="I214" s="8">
        <f t="shared" si="44"/>
        <v>1.3744667233333334</v>
      </c>
      <c r="J214" s="8">
        <f t="shared" si="44"/>
        <v>6.3162744999999996</v>
      </c>
      <c r="K214" s="8">
        <f t="shared" si="44"/>
        <v>0.24385707407407409</v>
      </c>
      <c r="L214" s="8">
        <f t="shared" si="44"/>
        <v>0</v>
      </c>
      <c r="M214" s="8">
        <f t="shared" si="44"/>
        <v>0</v>
      </c>
      <c r="N214" s="8">
        <f t="shared" si="44"/>
        <v>0</v>
      </c>
      <c r="O214" s="8">
        <f t="shared" si="44"/>
        <v>0</v>
      </c>
      <c r="P214" s="8">
        <f t="shared" si="44"/>
        <v>0</v>
      </c>
      <c r="Q214" s="46">
        <f>Q212/Q213</f>
        <v>0.53120113258947377</v>
      </c>
      <c r="R214" s="315"/>
      <c r="S214" s="103"/>
    </row>
    <row r="215" spans="1:20" ht="17.25" thickTop="1" thickBot="1" x14ac:dyDescent="0.3">
      <c r="A215" s="227"/>
      <c r="B215" s="229"/>
      <c r="C215" s="227"/>
      <c r="D215" s="65" t="s">
        <v>3</v>
      </c>
      <c r="E215" s="10">
        <f t="shared" ref="E215:P215" si="45">E212-E213</f>
        <v>40699.270000000019</v>
      </c>
      <c r="F215" s="10">
        <v>-81885.679900000003</v>
      </c>
      <c r="G215" s="10">
        <f t="shared" si="45"/>
        <v>-6068.5204000000012</v>
      </c>
      <c r="H215" s="10">
        <f t="shared" si="45"/>
        <v>13198.005100000009</v>
      </c>
      <c r="I215" s="10">
        <f t="shared" si="45"/>
        <v>33702.005100000009</v>
      </c>
      <c r="J215" s="10">
        <f t="shared" si="45"/>
        <v>531627.44999999995</v>
      </c>
      <c r="K215" s="10">
        <f t="shared" si="45"/>
        <v>-204158.59</v>
      </c>
      <c r="L215" s="10">
        <f t="shared" si="45"/>
        <v>-285000</v>
      </c>
      <c r="M215" s="10">
        <f t="shared" si="45"/>
        <v>-380000</v>
      </c>
      <c r="N215" s="10">
        <f t="shared" si="45"/>
        <v>-315000</v>
      </c>
      <c r="O215" s="10">
        <f t="shared" si="45"/>
        <v>-270000</v>
      </c>
      <c r="P215" s="10">
        <f t="shared" si="45"/>
        <v>-260000</v>
      </c>
      <c r="Q215" s="47">
        <f>Q212-Q213</f>
        <v>-1113397.3100999999</v>
      </c>
      <c r="R215" s="315"/>
      <c r="S215" s="104"/>
    </row>
    <row r="216" spans="1:20" ht="16.5" thickBot="1" x14ac:dyDescent="0.3">
      <c r="A216" s="227"/>
      <c r="B216" s="229"/>
      <c r="C216" s="227"/>
      <c r="D216" s="66" t="s">
        <v>4</v>
      </c>
      <c r="E216" s="9">
        <f t="shared" ref="E216:P216" si="46">E215/E212</f>
        <v>0.22523206651581942</v>
      </c>
      <c r="F216" s="9">
        <v>-0.98521746675516642</v>
      </c>
      <c r="G216" s="9">
        <f t="shared" si="46"/>
        <v>-0.10297587030209235</v>
      </c>
      <c r="H216" s="9">
        <f t="shared" si="46"/>
        <v>0.13440196760168205</v>
      </c>
      <c r="I216" s="9">
        <f t="shared" si="46"/>
        <v>0.27244509959847052</v>
      </c>
      <c r="J216" s="9">
        <f t="shared" si="46"/>
        <v>0.84167882507322944</v>
      </c>
      <c r="K216" s="9">
        <f t="shared" si="46"/>
        <v>-3.100762726679152</v>
      </c>
      <c r="L216" s="9" t="e">
        <f t="shared" si="46"/>
        <v>#DIV/0!</v>
      </c>
      <c r="M216" s="9" t="e">
        <f t="shared" si="46"/>
        <v>#DIV/0!</v>
      </c>
      <c r="N216" s="9" t="e">
        <f t="shared" si="46"/>
        <v>#DIV/0!</v>
      </c>
      <c r="O216" s="9" t="e">
        <f t="shared" si="46"/>
        <v>#DIV/0!</v>
      </c>
      <c r="P216" s="9" t="e">
        <f t="shared" si="46"/>
        <v>#DIV/0!</v>
      </c>
      <c r="Q216" s="48">
        <f>Q215/Q212</f>
        <v>-0.88252610668438924</v>
      </c>
      <c r="R216" s="18"/>
      <c r="S216" s="105"/>
    </row>
    <row r="217" spans="1:20" ht="15.75" thickBot="1" x14ac:dyDescent="0.25">
      <c r="A217" s="6"/>
      <c r="B217" s="6"/>
      <c r="C217" s="75"/>
      <c r="D217" s="67" t="s">
        <v>26</v>
      </c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40"/>
      <c r="Q217" s="67"/>
      <c r="R217" s="36"/>
      <c r="S217" s="106"/>
    </row>
    <row r="218" spans="1:20" ht="15.75" hidden="1" outlineLevel="1" x14ac:dyDescent="0.25">
      <c r="A218" s="216" t="s">
        <v>57</v>
      </c>
      <c r="B218" s="213" t="s">
        <v>12</v>
      </c>
      <c r="C218" s="224" t="s">
        <v>69</v>
      </c>
      <c r="D218" s="77" t="s">
        <v>14</v>
      </c>
      <c r="E218" s="78">
        <v>630.48</v>
      </c>
      <c r="F218" s="78">
        <v>2643.67</v>
      </c>
      <c r="G218" s="79">
        <v>5011.4492</v>
      </c>
      <c r="H218" s="260">
        <v>3771.5</v>
      </c>
      <c r="I218" s="80">
        <v>3781.06</v>
      </c>
      <c r="J218" s="80">
        <v>1612.47</v>
      </c>
      <c r="K218" s="80">
        <v>2363.1999999999998</v>
      </c>
      <c r="L218" s="80"/>
      <c r="M218" s="80"/>
      <c r="N218" s="80"/>
      <c r="O218" s="80"/>
      <c r="P218" s="80"/>
      <c r="Q218" s="90">
        <f>+SUM(E218:P218)</f>
        <v>19813.8292</v>
      </c>
      <c r="R218" s="301">
        <f>Q218/Q219</f>
        <v>0.36025143999999998</v>
      </c>
      <c r="S218" s="110" t="e">
        <v>#DIV/0!</v>
      </c>
    </row>
    <row r="219" spans="1:20" ht="16.5" hidden="1" outlineLevel="1" thickBot="1" x14ac:dyDescent="0.3">
      <c r="A219" s="217"/>
      <c r="B219" s="129"/>
      <c r="C219" s="225"/>
      <c r="D219" s="81" t="s">
        <v>1</v>
      </c>
      <c r="E219" s="82">
        <v>10000</v>
      </c>
      <c r="F219" s="82">
        <v>10000</v>
      </c>
      <c r="G219" s="82">
        <v>5500</v>
      </c>
      <c r="H219" s="82">
        <v>5500</v>
      </c>
      <c r="I219" s="82">
        <v>3500</v>
      </c>
      <c r="J219" s="82">
        <v>2500</v>
      </c>
      <c r="K219" s="82">
        <v>1000</v>
      </c>
      <c r="L219" s="82">
        <v>1000</v>
      </c>
      <c r="M219" s="82">
        <v>1000</v>
      </c>
      <c r="N219" s="82">
        <v>3000</v>
      </c>
      <c r="O219" s="82">
        <v>2000</v>
      </c>
      <c r="P219" s="82">
        <v>10000</v>
      </c>
      <c r="Q219" s="141">
        <f>SUM(E219:P219)</f>
        <v>55000</v>
      </c>
      <c r="R219" s="302"/>
      <c r="S219" s="109">
        <f>Q219/$Q$273</f>
        <v>3.4371777645845702E-3</v>
      </c>
    </row>
    <row r="220" spans="1:20" ht="15.75" hidden="1" outlineLevel="1" x14ac:dyDescent="0.25">
      <c r="A220" s="216" t="s">
        <v>57</v>
      </c>
      <c r="B220" s="213" t="s">
        <v>12</v>
      </c>
      <c r="C220" s="224" t="s">
        <v>111</v>
      </c>
      <c r="D220" s="77" t="s">
        <v>14</v>
      </c>
      <c r="E220" s="78">
        <v>2366.17</v>
      </c>
      <c r="F220" s="78">
        <v>643.36</v>
      </c>
      <c r="G220" s="79">
        <v>371.72719999999998</v>
      </c>
      <c r="H220" s="260">
        <v>130</v>
      </c>
      <c r="I220" s="80">
        <v>398.81799999999998</v>
      </c>
      <c r="J220" s="80">
        <v>330.73</v>
      </c>
      <c r="K220" s="80">
        <v>1227.81</v>
      </c>
      <c r="L220" s="80"/>
      <c r="M220" s="122"/>
      <c r="N220" s="122"/>
      <c r="O220" s="122"/>
      <c r="P220" s="122"/>
      <c r="Q220" s="90">
        <f>+SUM(E220:P220)</f>
        <v>5468.6152000000002</v>
      </c>
      <c r="R220" s="301">
        <f>Q220/Q221</f>
        <v>0.15624614857142857</v>
      </c>
      <c r="S220" s="110" t="e">
        <v>#DIV/0!</v>
      </c>
    </row>
    <row r="221" spans="1:20" ht="16.5" hidden="1" outlineLevel="1" thickBot="1" x14ac:dyDescent="0.3">
      <c r="A221" s="217"/>
      <c r="B221" s="129"/>
      <c r="C221" s="225"/>
      <c r="D221" s="81" t="s">
        <v>1</v>
      </c>
      <c r="E221" s="82">
        <v>1500</v>
      </c>
      <c r="F221" s="82">
        <v>500</v>
      </c>
      <c r="G221" s="82">
        <v>500</v>
      </c>
      <c r="H221" s="82">
        <v>500</v>
      </c>
      <c r="I221" s="82">
        <v>500</v>
      </c>
      <c r="J221" s="82">
        <v>1000</v>
      </c>
      <c r="K221" s="82">
        <v>3000</v>
      </c>
      <c r="L221" s="82">
        <v>12000</v>
      </c>
      <c r="M221" s="82">
        <v>11500</v>
      </c>
      <c r="N221" s="82">
        <v>3000</v>
      </c>
      <c r="O221" s="82">
        <v>500</v>
      </c>
      <c r="P221" s="82">
        <v>500</v>
      </c>
      <c r="Q221" s="141">
        <f>SUM(E221:P221)</f>
        <v>35000</v>
      </c>
      <c r="R221" s="302"/>
      <c r="S221" s="109">
        <f>Q221/$Q$273</f>
        <v>2.1872949410992721E-3</v>
      </c>
    </row>
    <row r="222" spans="1:20" ht="15.75" hidden="1" outlineLevel="1" x14ac:dyDescent="0.25">
      <c r="A222" s="216" t="s">
        <v>57</v>
      </c>
      <c r="B222" s="213" t="s">
        <v>12</v>
      </c>
      <c r="C222" s="218" t="s">
        <v>138</v>
      </c>
      <c r="D222" s="77" t="s">
        <v>14</v>
      </c>
      <c r="E222" s="78">
        <v>1493.5</v>
      </c>
      <c r="F222" s="78">
        <v>63.5</v>
      </c>
      <c r="G222" s="79">
        <v>201795.5</v>
      </c>
      <c r="H222" s="260">
        <v>28241</v>
      </c>
      <c r="I222" s="80">
        <v>10228</v>
      </c>
      <c r="J222" s="80">
        <v>1309.5</v>
      </c>
      <c r="K222" s="80">
        <v>4282.5</v>
      </c>
      <c r="L222" s="80"/>
      <c r="M222" s="122"/>
      <c r="N222" s="80"/>
      <c r="O222" s="80"/>
      <c r="P222" s="80"/>
      <c r="Q222" s="90">
        <f>+SUM(E222:P222)</f>
        <v>247413.5</v>
      </c>
      <c r="R222" s="301">
        <f>Q222/Q223</f>
        <v>0.82471166666666662</v>
      </c>
      <c r="S222" s="110" t="e">
        <v>#DIV/0!</v>
      </c>
    </row>
    <row r="223" spans="1:20" ht="16.5" hidden="1" outlineLevel="1" thickBot="1" x14ac:dyDescent="0.3">
      <c r="A223" s="217"/>
      <c r="B223" s="129"/>
      <c r="C223" s="219"/>
      <c r="D223" s="81" t="s">
        <v>1</v>
      </c>
      <c r="E223" s="82">
        <v>10000</v>
      </c>
      <c r="F223" s="82">
        <v>50000</v>
      </c>
      <c r="G223" s="82">
        <v>150000</v>
      </c>
      <c r="H223" s="82">
        <v>10000</v>
      </c>
      <c r="I223" s="82">
        <v>10000</v>
      </c>
      <c r="J223" s="82">
        <v>10000</v>
      </c>
      <c r="K223" s="82">
        <v>10000</v>
      </c>
      <c r="L223" s="82">
        <v>10000</v>
      </c>
      <c r="M223" s="82">
        <v>10000</v>
      </c>
      <c r="N223" s="82">
        <v>10000</v>
      </c>
      <c r="O223" s="82">
        <v>10000</v>
      </c>
      <c r="P223" s="82">
        <v>10000</v>
      </c>
      <c r="Q223" s="141">
        <f>SUM(E223:P223)</f>
        <v>300000</v>
      </c>
      <c r="R223" s="302"/>
      <c r="S223" s="109">
        <f>Q223/$Q$273</f>
        <v>1.8748242352279475E-2</v>
      </c>
    </row>
    <row r="224" spans="1:20" ht="15.75" hidden="1" outlineLevel="1" x14ac:dyDescent="0.25">
      <c r="A224" s="216" t="s">
        <v>57</v>
      </c>
      <c r="B224" s="213" t="s">
        <v>12</v>
      </c>
      <c r="C224" s="218" t="s">
        <v>39</v>
      </c>
      <c r="D224" s="77" t="s">
        <v>14</v>
      </c>
      <c r="E224" s="78"/>
      <c r="F224" s="78"/>
      <c r="G224" s="79">
        <v>4163.5</v>
      </c>
      <c r="H224" s="260">
        <v>11305</v>
      </c>
      <c r="I224" s="80">
        <v>4849.66</v>
      </c>
      <c r="J224" s="80">
        <v>1086.3499999999999</v>
      </c>
      <c r="K224" s="80">
        <v>1285.55</v>
      </c>
      <c r="L224" s="80"/>
      <c r="M224" s="80"/>
      <c r="N224" s="80"/>
      <c r="O224" s="80"/>
      <c r="P224" s="80"/>
      <c r="Q224" s="90">
        <f>+SUM(E224:P224)</f>
        <v>22690.059999999998</v>
      </c>
      <c r="R224" s="301">
        <f>Q224/Q225</f>
        <v>0.44930811881188115</v>
      </c>
      <c r="S224" s="110">
        <v>0</v>
      </c>
    </row>
    <row r="225" spans="1:19" ht="16.5" hidden="1" outlineLevel="1" thickBot="1" x14ac:dyDescent="0.3">
      <c r="A225" s="217"/>
      <c r="B225" s="129"/>
      <c r="C225" s="219"/>
      <c r="D225" s="81" t="s">
        <v>1</v>
      </c>
      <c r="E225" s="88">
        <v>2500</v>
      </c>
      <c r="F225" s="88">
        <v>4500</v>
      </c>
      <c r="G225" s="88">
        <v>4500</v>
      </c>
      <c r="H225" s="88">
        <v>4500</v>
      </c>
      <c r="I225" s="88">
        <v>4500</v>
      </c>
      <c r="J225" s="88">
        <v>4500</v>
      </c>
      <c r="K225" s="88">
        <v>3000</v>
      </c>
      <c r="L225" s="88">
        <v>4500</v>
      </c>
      <c r="M225" s="88">
        <v>4500</v>
      </c>
      <c r="N225" s="88">
        <v>4500</v>
      </c>
      <c r="O225" s="88">
        <v>4500</v>
      </c>
      <c r="P225" s="88">
        <v>4500</v>
      </c>
      <c r="Q225" s="141">
        <f>SUM(E225:P225)</f>
        <v>50500</v>
      </c>
      <c r="R225" s="302"/>
      <c r="S225" s="109">
        <f>Q225/$Q$273</f>
        <v>3.155954129300378E-3</v>
      </c>
    </row>
    <row r="226" spans="1:19" ht="15.75" hidden="1" outlineLevel="1" x14ac:dyDescent="0.25">
      <c r="A226" s="216" t="s">
        <v>57</v>
      </c>
      <c r="B226" s="213" t="s">
        <v>12</v>
      </c>
      <c r="C226" s="218" t="s">
        <v>117</v>
      </c>
      <c r="D226" s="77" t="s">
        <v>14</v>
      </c>
      <c r="E226" s="78"/>
      <c r="F226" s="78">
        <v>5073</v>
      </c>
      <c r="G226" s="79">
        <v>7421</v>
      </c>
      <c r="H226" s="260">
        <v>1082</v>
      </c>
      <c r="I226" s="80">
        <v>5374</v>
      </c>
      <c r="J226" s="80">
        <v>2761.48</v>
      </c>
      <c r="K226" s="80">
        <v>342.5</v>
      </c>
      <c r="L226" s="80"/>
      <c r="M226" s="80"/>
      <c r="N226" s="80"/>
      <c r="O226" s="80"/>
      <c r="P226" s="80"/>
      <c r="Q226" s="90">
        <f>+SUM(E226:P226)</f>
        <v>22053.98</v>
      </c>
      <c r="R226" s="301">
        <f>Q226/Q227</f>
        <v>0.5250947619047619</v>
      </c>
      <c r="S226" s="110" t="e">
        <v>#REF!</v>
      </c>
    </row>
    <row r="227" spans="1:19" ht="16.5" hidden="1" outlineLevel="1" thickBot="1" x14ac:dyDescent="0.3">
      <c r="A227" s="217"/>
      <c r="B227" s="129"/>
      <c r="C227" s="219"/>
      <c r="D227" s="81" t="s">
        <v>1</v>
      </c>
      <c r="E227" s="88">
        <v>3500</v>
      </c>
      <c r="F227" s="88">
        <v>3500</v>
      </c>
      <c r="G227" s="88">
        <v>3500</v>
      </c>
      <c r="H227" s="88">
        <v>3500</v>
      </c>
      <c r="I227" s="88">
        <v>3500</v>
      </c>
      <c r="J227" s="88">
        <v>3500</v>
      </c>
      <c r="K227" s="88">
        <v>3500</v>
      </c>
      <c r="L227" s="88">
        <v>3500</v>
      </c>
      <c r="M227" s="88">
        <v>3500</v>
      </c>
      <c r="N227" s="88">
        <v>3500</v>
      </c>
      <c r="O227" s="88">
        <v>3500</v>
      </c>
      <c r="P227" s="88">
        <v>3500</v>
      </c>
      <c r="Q227" s="141">
        <f>SUM(E227:P227)</f>
        <v>42000</v>
      </c>
      <c r="R227" s="302"/>
      <c r="S227" s="109">
        <f>Q227/$Q$273</f>
        <v>2.6247539293191265E-3</v>
      </c>
    </row>
    <row r="228" spans="1:19" ht="15.75" hidden="1" outlineLevel="1" x14ac:dyDescent="0.25">
      <c r="A228" s="216" t="s">
        <v>57</v>
      </c>
      <c r="B228" s="213" t="s">
        <v>12</v>
      </c>
      <c r="C228" s="218" t="s">
        <v>43</v>
      </c>
      <c r="D228" s="77" t="s">
        <v>14</v>
      </c>
      <c r="E228" s="78">
        <v>2628.9</v>
      </c>
      <c r="F228" s="78">
        <v>53.7</v>
      </c>
      <c r="G228" s="79">
        <v>5625.7</v>
      </c>
      <c r="H228" s="260">
        <v>4239</v>
      </c>
      <c r="I228" s="80">
        <v>770</v>
      </c>
      <c r="J228" s="80">
        <v>139</v>
      </c>
      <c r="K228" s="80">
        <v>1667.2</v>
      </c>
      <c r="L228" s="80"/>
      <c r="M228" s="80"/>
      <c r="N228" s="80"/>
      <c r="O228" s="80"/>
      <c r="P228" s="80"/>
      <c r="Q228" s="90">
        <f>+SUM(E228:P228)</f>
        <v>15123.5</v>
      </c>
      <c r="R228" s="301">
        <f>Q228/Q229</f>
        <v>0.21604999999999999</v>
      </c>
      <c r="S228" s="110" t="e">
        <v>#REF!</v>
      </c>
    </row>
    <row r="229" spans="1:19" ht="16.5" hidden="1" outlineLevel="1" thickBot="1" x14ac:dyDescent="0.3">
      <c r="A229" s="217"/>
      <c r="B229" s="129"/>
      <c r="C229" s="219"/>
      <c r="D229" s="81" t="s">
        <v>1</v>
      </c>
      <c r="E229" s="88">
        <v>5000</v>
      </c>
      <c r="F229" s="88">
        <v>5000</v>
      </c>
      <c r="G229" s="88">
        <v>10000</v>
      </c>
      <c r="H229" s="88">
        <v>2500</v>
      </c>
      <c r="I229" s="88">
        <v>5000</v>
      </c>
      <c r="J229" s="88">
        <v>5000</v>
      </c>
      <c r="K229" s="88">
        <v>5000</v>
      </c>
      <c r="L229" s="88">
        <v>7500</v>
      </c>
      <c r="M229" s="88">
        <v>5000</v>
      </c>
      <c r="N229" s="88">
        <v>10000</v>
      </c>
      <c r="O229" s="88">
        <v>5000</v>
      </c>
      <c r="P229" s="88">
        <v>5000</v>
      </c>
      <c r="Q229" s="141">
        <f>SUM(E229:P229)</f>
        <v>70000</v>
      </c>
      <c r="R229" s="302"/>
      <c r="S229" s="109">
        <f>Q229/$Q$273</f>
        <v>4.3745898821985442E-3</v>
      </c>
    </row>
    <row r="230" spans="1:19" ht="15.75" hidden="1" outlineLevel="1" x14ac:dyDescent="0.25">
      <c r="A230" s="216" t="s">
        <v>57</v>
      </c>
      <c r="B230" s="213" t="s">
        <v>12</v>
      </c>
      <c r="C230" s="218" t="s">
        <v>134</v>
      </c>
      <c r="D230" s="77" t="s">
        <v>14</v>
      </c>
      <c r="E230" s="78">
        <v>4893</v>
      </c>
      <c r="F230" s="78">
        <v>3623.64</v>
      </c>
      <c r="G230" s="79">
        <v>3745.14</v>
      </c>
      <c r="H230" s="260">
        <v>2943.6091000000001</v>
      </c>
      <c r="I230" s="80">
        <v>4286.75</v>
      </c>
      <c r="J230" s="80">
        <v>2741.5</v>
      </c>
      <c r="K230" s="80">
        <v>3799.74</v>
      </c>
      <c r="L230" s="80"/>
      <c r="M230" s="80"/>
      <c r="N230" s="80"/>
      <c r="O230" s="80"/>
      <c r="P230" s="80"/>
      <c r="Q230" s="90">
        <f>+SUM(E230:P230)</f>
        <v>26033.379099999998</v>
      </c>
      <c r="R230" s="301">
        <f>Q230/Q231</f>
        <v>0.52066758199999996</v>
      </c>
      <c r="S230" s="110" t="e">
        <v>#REF!</v>
      </c>
    </row>
    <row r="231" spans="1:19" ht="16.5" hidden="1" outlineLevel="1" thickBot="1" x14ac:dyDescent="0.3">
      <c r="A231" s="217"/>
      <c r="B231" s="129"/>
      <c r="C231" s="219"/>
      <c r="D231" s="81" t="s">
        <v>1</v>
      </c>
      <c r="E231" s="88">
        <v>2500</v>
      </c>
      <c r="F231" s="88">
        <v>5500</v>
      </c>
      <c r="G231" s="88">
        <v>2500</v>
      </c>
      <c r="H231" s="88">
        <v>5500</v>
      </c>
      <c r="I231" s="88">
        <v>5500</v>
      </c>
      <c r="J231" s="88">
        <v>2500</v>
      </c>
      <c r="K231" s="88">
        <v>2500</v>
      </c>
      <c r="L231" s="88">
        <v>5500</v>
      </c>
      <c r="M231" s="88">
        <v>5500</v>
      </c>
      <c r="N231" s="88">
        <v>2500</v>
      </c>
      <c r="O231" s="88">
        <v>5000</v>
      </c>
      <c r="P231" s="88">
        <v>5000</v>
      </c>
      <c r="Q231" s="141">
        <f>SUM(E231:P231)</f>
        <v>50000</v>
      </c>
      <c r="R231" s="302"/>
      <c r="S231" s="109">
        <f>Q231/$Q$273</f>
        <v>3.1247070587132456E-3</v>
      </c>
    </row>
    <row r="232" spans="1:19" ht="15.75" hidden="1" outlineLevel="1" x14ac:dyDescent="0.25">
      <c r="A232" s="216" t="s">
        <v>57</v>
      </c>
      <c r="B232" s="213" t="s">
        <v>12</v>
      </c>
      <c r="C232" s="218" t="s">
        <v>115</v>
      </c>
      <c r="D232" s="77" t="s">
        <v>14</v>
      </c>
      <c r="E232" s="78">
        <v>10400.68</v>
      </c>
      <c r="F232" s="78">
        <v>5958.36</v>
      </c>
      <c r="G232" s="79">
        <v>4874.18</v>
      </c>
      <c r="H232" s="260">
        <v>10903.04</v>
      </c>
      <c r="I232" s="80">
        <v>4615</v>
      </c>
      <c r="J232" s="80">
        <v>3680.5</v>
      </c>
      <c r="K232" s="80">
        <v>2793.18</v>
      </c>
      <c r="L232" s="80"/>
      <c r="M232" s="80"/>
      <c r="N232" s="80"/>
      <c r="O232" s="80"/>
      <c r="P232" s="80"/>
      <c r="Q232" s="90">
        <f>+SUM(E232:P232)</f>
        <v>43224.94</v>
      </c>
      <c r="R232" s="301">
        <f>Q232/Q233</f>
        <v>0.61749914285714291</v>
      </c>
      <c r="S232" s="110" t="e">
        <v>#REF!</v>
      </c>
    </row>
    <row r="233" spans="1:19" ht="16.5" hidden="1" outlineLevel="1" thickBot="1" x14ac:dyDescent="0.3">
      <c r="A233" s="217"/>
      <c r="B233" s="129"/>
      <c r="C233" s="219"/>
      <c r="D233" s="81" t="s">
        <v>1</v>
      </c>
      <c r="E233" s="88">
        <v>5000</v>
      </c>
      <c r="F233" s="88">
        <v>6500</v>
      </c>
      <c r="G233" s="88">
        <v>5000</v>
      </c>
      <c r="H233" s="88">
        <v>4000</v>
      </c>
      <c r="I233" s="88">
        <v>5500</v>
      </c>
      <c r="J233" s="88">
        <v>3000</v>
      </c>
      <c r="K233" s="88">
        <v>8000</v>
      </c>
      <c r="L233" s="88">
        <v>3000</v>
      </c>
      <c r="M233" s="88">
        <v>6500</v>
      </c>
      <c r="N233" s="88">
        <v>7000</v>
      </c>
      <c r="O233" s="88">
        <v>6500</v>
      </c>
      <c r="P233" s="88">
        <v>10000</v>
      </c>
      <c r="Q233" s="141">
        <f>SUM(E233:P233)</f>
        <v>70000</v>
      </c>
      <c r="R233" s="302"/>
      <c r="S233" s="109">
        <f>Q233/$Q$273</f>
        <v>4.3745898821985442E-3</v>
      </c>
    </row>
    <row r="234" spans="1:19" ht="15.75" hidden="1" outlineLevel="1" x14ac:dyDescent="0.25">
      <c r="A234" s="216" t="s">
        <v>57</v>
      </c>
      <c r="B234" s="213" t="s">
        <v>12</v>
      </c>
      <c r="C234" s="218" t="s">
        <v>127</v>
      </c>
      <c r="D234" s="77" t="s">
        <v>14</v>
      </c>
      <c r="E234" s="78">
        <v>693</v>
      </c>
      <c r="F234" s="78">
        <v>1220</v>
      </c>
      <c r="G234" s="79">
        <v>2561.5</v>
      </c>
      <c r="H234" s="260">
        <v>5268.5</v>
      </c>
      <c r="I234" s="80">
        <v>10808</v>
      </c>
      <c r="J234" s="80">
        <v>4014.5</v>
      </c>
      <c r="K234" s="80">
        <v>17246.5</v>
      </c>
      <c r="L234" s="80"/>
      <c r="M234" s="80"/>
      <c r="N234" s="80"/>
      <c r="O234" s="80"/>
      <c r="P234" s="80"/>
      <c r="Q234" s="90">
        <f>+SUM(E234:P234)</f>
        <v>41812</v>
      </c>
      <c r="R234" s="301">
        <f>Q234/Q235</f>
        <v>0.69686666666666663</v>
      </c>
      <c r="S234" s="110" t="e">
        <v>#DIV/0!</v>
      </c>
    </row>
    <row r="235" spans="1:19" ht="16.5" hidden="1" outlineLevel="1" thickBot="1" x14ac:dyDescent="0.3">
      <c r="A235" s="217"/>
      <c r="B235" s="129"/>
      <c r="C235" s="219"/>
      <c r="D235" s="81" t="s">
        <v>1</v>
      </c>
      <c r="E235" s="82">
        <v>5500</v>
      </c>
      <c r="F235" s="82">
        <v>5500</v>
      </c>
      <c r="G235" s="82">
        <v>5500</v>
      </c>
      <c r="H235" s="82">
        <v>5500</v>
      </c>
      <c r="I235" s="82">
        <v>3500</v>
      </c>
      <c r="J235" s="82">
        <v>4500</v>
      </c>
      <c r="K235" s="88">
        <v>2500</v>
      </c>
      <c r="L235" s="88">
        <v>5500</v>
      </c>
      <c r="M235" s="88">
        <v>5500</v>
      </c>
      <c r="N235" s="88">
        <v>5500</v>
      </c>
      <c r="O235" s="88">
        <v>5500</v>
      </c>
      <c r="P235" s="88">
        <v>5500</v>
      </c>
      <c r="Q235" s="141">
        <f>SUM(E235:P235)</f>
        <v>60000</v>
      </c>
      <c r="R235" s="302"/>
      <c r="S235" s="109">
        <f>Q235/$Q$273</f>
        <v>3.7496484704558947E-3</v>
      </c>
    </row>
    <row r="236" spans="1:19" ht="15.75" hidden="1" outlineLevel="1" x14ac:dyDescent="0.25">
      <c r="A236" s="216" t="s">
        <v>57</v>
      </c>
      <c r="B236" s="213" t="s">
        <v>12</v>
      </c>
      <c r="C236" s="218" t="s">
        <v>58</v>
      </c>
      <c r="D236" s="77" t="s">
        <v>14</v>
      </c>
      <c r="E236" s="78">
        <v>6875</v>
      </c>
      <c r="F236" s="78">
        <v>603.77269999999999</v>
      </c>
      <c r="G236" s="79"/>
      <c r="H236" s="260">
        <v>1500</v>
      </c>
      <c r="I236" s="80">
        <v>273</v>
      </c>
      <c r="J236" s="80"/>
      <c r="K236" s="80"/>
      <c r="L236" s="80"/>
      <c r="M236" s="80"/>
      <c r="N236" s="80"/>
      <c r="O236" s="80"/>
      <c r="P236" s="80"/>
      <c r="Q236" s="90">
        <f>+SUM(E236:P236)</f>
        <v>9251.7726999999995</v>
      </c>
      <c r="R236" s="301">
        <f>Q236/Q237</f>
        <v>0.18503545399999999</v>
      </c>
      <c r="S236" s="110" t="e">
        <v>#DIV/0!</v>
      </c>
    </row>
    <row r="237" spans="1:19" ht="16.5" hidden="1" outlineLevel="1" thickBot="1" x14ac:dyDescent="0.3">
      <c r="A237" s="217"/>
      <c r="B237" s="129"/>
      <c r="C237" s="219"/>
      <c r="D237" s="81" t="s">
        <v>1</v>
      </c>
      <c r="E237" s="82">
        <v>2500</v>
      </c>
      <c r="F237" s="82">
        <v>2500</v>
      </c>
      <c r="G237" s="82">
        <v>0</v>
      </c>
      <c r="H237" s="82">
        <v>2000</v>
      </c>
      <c r="I237" s="82">
        <v>5000</v>
      </c>
      <c r="J237" s="82">
        <v>5000</v>
      </c>
      <c r="K237" s="88">
        <v>10000</v>
      </c>
      <c r="L237" s="88">
        <v>4000</v>
      </c>
      <c r="M237" s="88">
        <v>4000</v>
      </c>
      <c r="N237" s="88">
        <v>5000</v>
      </c>
      <c r="O237" s="88">
        <v>5000</v>
      </c>
      <c r="P237" s="88">
        <v>5000</v>
      </c>
      <c r="Q237" s="141">
        <f>SUM(E237:P237)</f>
        <v>50000</v>
      </c>
      <c r="R237" s="302"/>
      <c r="S237" s="109">
        <f>Q237/$Q$273</f>
        <v>3.1247070587132456E-3</v>
      </c>
    </row>
    <row r="238" spans="1:19" ht="15.75" hidden="1" customHeight="1" outlineLevel="1" x14ac:dyDescent="0.25">
      <c r="A238" s="216" t="s">
        <v>57</v>
      </c>
      <c r="B238" s="213" t="s">
        <v>12</v>
      </c>
      <c r="C238" s="218" t="s">
        <v>156</v>
      </c>
      <c r="D238" s="138" t="s">
        <v>14</v>
      </c>
      <c r="E238" s="78"/>
      <c r="F238" s="78"/>
      <c r="G238" s="79"/>
      <c r="H238" s="260">
        <v>1735</v>
      </c>
      <c r="I238" s="80">
        <v>1597.5</v>
      </c>
      <c r="J238" s="80">
        <v>104</v>
      </c>
      <c r="K238" s="80">
        <v>2996.5</v>
      </c>
      <c r="L238" s="80"/>
      <c r="M238" s="80"/>
      <c r="N238" s="80"/>
      <c r="O238" s="80"/>
      <c r="P238" s="80"/>
      <c r="Q238" s="90">
        <f>+SUM(E238:P238)</f>
        <v>6433</v>
      </c>
      <c r="R238" s="301">
        <f>Q238/Q239</f>
        <v>0.12866</v>
      </c>
      <c r="S238" s="110" t="e">
        <v>#DIV/0!</v>
      </c>
    </row>
    <row r="239" spans="1:19" ht="15.75" hidden="1" customHeight="1" outlineLevel="1" thickBot="1" x14ac:dyDescent="0.3">
      <c r="A239" s="217"/>
      <c r="B239" s="129"/>
      <c r="C239" s="219"/>
      <c r="D239" s="137" t="s">
        <v>1</v>
      </c>
      <c r="E239" s="88">
        <v>2500</v>
      </c>
      <c r="F239" s="88">
        <v>5500</v>
      </c>
      <c r="G239" s="88">
        <v>2500</v>
      </c>
      <c r="H239" s="88">
        <v>5500</v>
      </c>
      <c r="I239" s="88">
        <v>5500</v>
      </c>
      <c r="J239" s="88">
        <v>2500</v>
      </c>
      <c r="K239" s="88">
        <v>2500</v>
      </c>
      <c r="L239" s="88">
        <v>5500</v>
      </c>
      <c r="M239" s="88">
        <v>5500</v>
      </c>
      <c r="N239" s="88">
        <v>2500</v>
      </c>
      <c r="O239" s="88">
        <v>5000</v>
      </c>
      <c r="P239" s="88">
        <v>5000</v>
      </c>
      <c r="Q239" s="141">
        <f>SUM(E239:P239)</f>
        <v>50000</v>
      </c>
      <c r="R239" s="302"/>
      <c r="S239" s="109">
        <f>Q239/$Q$273</f>
        <v>3.1247070587132456E-3</v>
      </c>
    </row>
    <row r="240" spans="1:19" ht="16.5" hidden="1" customHeight="1" outlineLevel="1" x14ac:dyDescent="0.25">
      <c r="A240" s="216" t="s">
        <v>57</v>
      </c>
      <c r="B240" s="213" t="s">
        <v>12</v>
      </c>
      <c r="C240" s="218" t="s">
        <v>166</v>
      </c>
      <c r="D240" s="138" t="s">
        <v>14</v>
      </c>
      <c r="E240" s="78"/>
      <c r="F240" s="78"/>
      <c r="G240" s="78"/>
      <c r="H240" s="260">
        <v>1238.5</v>
      </c>
      <c r="I240" s="80">
        <v>7939.5</v>
      </c>
      <c r="J240" s="80">
        <v>3839.5</v>
      </c>
      <c r="K240" s="80">
        <v>3715.5</v>
      </c>
      <c r="L240" s="80"/>
      <c r="M240" s="80"/>
      <c r="N240" s="80"/>
      <c r="O240" s="80"/>
      <c r="P240" s="80"/>
      <c r="Q240" s="90">
        <f t="shared" ref="Q240" si="47">+SUM(E240:P240)</f>
        <v>16733</v>
      </c>
      <c r="R240" s="301">
        <f>Q240/Q241</f>
        <v>0.30423636363636364</v>
      </c>
      <c r="S240" s="110" t="e">
        <v>#DIV/0!</v>
      </c>
    </row>
    <row r="241" spans="1:27" ht="16.5" hidden="1" customHeight="1" outlineLevel="1" thickBot="1" x14ac:dyDescent="0.3">
      <c r="A241" s="217"/>
      <c r="B241" s="129"/>
      <c r="C241" s="219"/>
      <c r="D241" s="137" t="s">
        <v>1</v>
      </c>
      <c r="E241" s="82"/>
      <c r="F241" s="82"/>
      <c r="G241" s="82">
        <v>0</v>
      </c>
      <c r="H241" s="82">
        <v>17500</v>
      </c>
      <c r="I241" s="82">
        <v>17500</v>
      </c>
      <c r="J241" s="82">
        <v>9500</v>
      </c>
      <c r="K241" s="88">
        <v>3000</v>
      </c>
      <c r="L241" s="88">
        <v>1500</v>
      </c>
      <c r="M241" s="88">
        <v>1500</v>
      </c>
      <c r="N241" s="88">
        <v>1500</v>
      </c>
      <c r="O241" s="88">
        <v>1500</v>
      </c>
      <c r="P241" s="88">
        <v>1500</v>
      </c>
      <c r="Q241" s="141">
        <f t="shared" ref="Q241" si="48">SUM(E241:P241)</f>
        <v>55000</v>
      </c>
      <c r="R241" s="302"/>
      <c r="S241" s="109">
        <f>Q241/$Q$273</f>
        <v>3.4371777645845702E-3</v>
      </c>
    </row>
    <row r="242" spans="1:27" ht="15.75" hidden="1" outlineLevel="1" x14ac:dyDescent="0.25">
      <c r="A242" s="216" t="s">
        <v>57</v>
      </c>
      <c r="B242" s="213" t="s">
        <v>12</v>
      </c>
      <c r="C242" s="218" t="s">
        <v>59</v>
      </c>
      <c r="D242" s="77" t="s">
        <v>14</v>
      </c>
      <c r="E242" s="78">
        <v>14605.48</v>
      </c>
      <c r="F242" s="78">
        <v>19112.52</v>
      </c>
      <c r="G242" s="79">
        <v>29500.84</v>
      </c>
      <c r="H242" s="260">
        <v>21154.959999999999</v>
      </c>
      <c r="I242" s="80">
        <v>36262.79</v>
      </c>
      <c r="J242" s="80">
        <v>9186.4</v>
      </c>
      <c r="K242" s="80">
        <v>28461.37</v>
      </c>
      <c r="L242" s="80"/>
      <c r="M242" s="80"/>
      <c r="N242" s="80"/>
      <c r="O242" s="80"/>
      <c r="P242" s="80"/>
      <c r="Q242" s="90">
        <f>+SUM(E242:P242)</f>
        <v>158284.35999999999</v>
      </c>
      <c r="R242" s="301">
        <f>Q242/Q243</f>
        <v>0.7034860444444444</v>
      </c>
      <c r="S242" s="110" t="e">
        <v>#DIV/0!</v>
      </c>
    </row>
    <row r="243" spans="1:27" ht="16.5" hidden="1" outlineLevel="1" thickBot="1" x14ac:dyDescent="0.3">
      <c r="A243" s="217"/>
      <c r="B243" s="129"/>
      <c r="C243" s="219"/>
      <c r="D243" s="81" t="s">
        <v>1</v>
      </c>
      <c r="E243" s="82">
        <v>25000</v>
      </c>
      <c r="F243" s="82">
        <v>20000</v>
      </c>
      <c r="G243" s="82">
        <v>25000</v>
      </c>
      <c r="H243" s="82">
        <v>10000</v>
      </c>
      <c r="I243" s="82">
        <v>15000</v>
      </c>
      <c r="J243" s="82">
        <v>20000</v>
      </c>
      <c r="K243" s="88">
        <v>15000</v>
      </c>
      <c r="L243" s="88">
        <v>20000</v>
      </c>
      <c r="M243" s="88">
        <v>20000</v>
      </c>
      <c r="N243" s="88">
        <v>20000</v>
      </c>
      <c r="O243" s="88">
        <v>15000</v>
      </c>
      <c r="P243" s="88">
        <v>20000</v>
      </c>
      <c r="Q243" s="141">
        <f>SUM(E243:P243)</f>
        <v>225000</v>
      </c>
      <c r="R243" s="302"/>
      <c r="S243" s="109">
        <f>Q243/$Q$273</f>
        <v>1.4061181764209606E-2</v>
      </c>
      <c r="V243"/>
      <c r="W243"/>
      <c r="X243"/>
      <c r="Y243"/>
      <c r="Z243"/>
      <c r="AA243"/>
    </row>
    <row r="244" spans="1:27" ht="15.75" hidden="1" outlineLevel="1" x14ac:dyDescent="0.25">
      <c r="A244" s="216" t="s">
        <v>57</v>
      </c>
      <c r="B244" s="213" t="s">
        <v>12</v>
      </c>
      <c r="C244" s="218" t="s">
        <v>60</v>
      </c>
      <c r="D244" s="77" t="s">
        <v>14</v>
      </c>
      <c r="E244" s="78">
        <v>4987.3999999999996</v>
      </c>
      <c r="F244" s="78">
        <v>2454</v>
      </c>
      <c r="G244" s="79">
        <v>85467.199999999997</v>
      </c>
      <c r="H244" s="260">
        <v>3957</v>
      </c>
      <c r="I244" s="80">
        <v>3380.8</v>
      </c>
      <c r="J244" s="80">
        <v>8895.7999999999993</v>
      </c>
      <c r="K244" s="80">
        <v>2484.6</v>
      </c>
      <c r="L244" s="80"/>
      <c r="M244" s="80"/>
      <c r="N244" s="80"/>
      <c r="O244" s="80"/>
      <c r="P244" s="80"/>
      <c r="Q244" s="90">
        <f>+SUM(E244:P244)</f>
        <v>111626.8</v>
      </c>
      <c r="R244" s="301">
        <f>Q244/Q245</f>
        <v>1.5833588652482269</v>
      </c>
      <c r="S244" s="110" t="e">
        <v>#DIV/0!</v>
      </c>
      <c r="V244"/>
      <c r="W244"/>
      <c r="X244"/>
      <c r="Y244"/>
      <c r="Z244"/>
      <c r="AA244"/>
    </row>
    <row r="245" spans="1:27" ht="16.5" hidden="1" outlineLevel="1" thickBot="1" x14ac:dyDescent="0.3">
      <c r="A245" s="217"/>
      <c r="B245" s="129"/>
      <c r="C245" s="219"/>
      <c r="D245" s="81" t="s">
        <v>1</v>
      </c>
      <c r="E245" s="82">
        <v>10000</v>
      </c>
      <c r="F245" s="82">
        <v>10000</v>
      </c>
      <c r="G245" s="82">
        <v>10000</v>
      </c>
      <c r="H245" s="82">
        <v>5500</v>
      </c>
      <c r="I245" s="82">
        <v>5500</v>
      </c>
      <c r="J245" s="82">
        <v>5500</v>
      </c>
      <c r="K245" s="88">
        <v>3500</v>
      </c>
      <c r="L245" s="88">
        <v>3500</v>
      </c>
      <c r="M245" s="88">
        <v>3500</v>
      </c>
      <c r="N245" s="88">
        <v>5500</v>
      </c>
      <c r="O245" s="88">
        <v>2500</v>
      </c>
      <c r="P245" s="88">
        <v>5500</v>
      </c>
      <c r="Q245" s="141">
        <f>SUM(E245:P245)</f>
        <v>70500</v>
      </c>
      <c r="R245" s="302"/>
      <c r="S245" s="109">
        <f>Q245/$Q$273</f>
        <v>4.4058369527856765E-3</v>
      </c>
      <c r="V245"/>
      <c r="W245"/>
      <c r="X245"/>
      <c r="Y245"/>
      <c r="Z245"/>
      <c r="AA245"/>
    </row>
    <row r="246" spans="1:27" ht="15.75" hidden="1" outlineLevel="1" x14ac:dyDescent="0.25">
      <c r="A246" s="216" t="s">
        <v>57</v>
      </c>
      <c r="B246" s="213" t="s">
        <v>12</v>
      </c>
      <c r="C246" s="218" t="s">
        <v>72</v>
      </c>
      <c r="D246" s="77" t="s">
        <v>14</v>
      </c>
      <c r="E246" s="78">
        <v>251342.55</v>
      </c>
      <c r="F246" s="78">
        <v>37393.85</v>
      </c>
      <c r="G246" s="79">
        <v>18073.8</v>
      </c>
      <c r="H246" s="260">
        <v>-265</v>
      </c>
      <c r="I246" s="80"/>
      <c r="J246" s="80"/>
      <c r="K246" s="80">
        <v>850.05</v>
      </c>
      <c r="L246" s="80"/>
      <c r="M246" s="80"/>
      <c r="N246" s="80"/>
      <c r="O246" s="80"/>
      <c r="P246" s="80"/>
      <c r="Q246" s="90">
        <f>+SUM(E246:P246)</f>
        <v>307395.24999999994</v>
      </c>
      <c r="R246" s="301">
        <f>Q246/Q247</f>
        <v>1.1512930711610485</v>
      </c>
      <c r="S246" s="110" t="e">
        <v>#DIV/0!</v>
      </c>
      <c r="V246"/>
      <c r="W246"/>
      <c r="X246"/>
      <c r="Y246"/>
      <c r="Z246"/>
      <c r="AA246"/>
    </row>
    <row r="247" spans="1:27" ht="16.5" hidden="1" outlineLevel="1" thickBot="1" x14ac:dyDescent="0.3">
      <c r="A247" s="217"/>
      <c r="B247" s="129"/>
      <c r="C247" s="219"/>
      <c r="D247" s="81" t="s">
        <v>1</v>
      </c>
      <c r="E247" s="82">
        <v>0</v>
      </c>
      <c r="F247" s="82">
        <v>257000</v>
      </c>
      <c r="G247" s="82"/>
      <c r="H247" s="82">
        <v>0</v>
      </c>
      <c r="I247" s="82">
        <v>0</v>
      </c>
      <c r="J247" s="82">
        <v>0</v>
      </c>
      <c r="K247" s="88">
        <v>2000</v>
      </c>
      <c r="L247" s="88">
        <v>1500</v>
      </c>
      <c r="M247" s="88">
        <v>0</v>
      </c>
      <c r="N247" s="88">
        <v>2500</v>
      </c>
      <c r="O247" s="88">
        <v>2500</v>
      </c>
      <c r="P247" s="88">
        <v>1500</v>
      </c>
      <c r="Q247" s="141">
        <f>SUM(E247:P247)</f>
        <v>267000</v>
      </c>
      <c r="R247" s="302"/>
      <c r="S247" s="109">
        <f>Q247/$Q$273</f>
        <v>1.6685935693528733E-2</v>
      </c>
      <c r="V247"/>
      <c r="W247"/>
      <c r="X247"/>
      <c r="Y247"/>
      <c r="Z247"/>
      <c r="AA247"/>
    </row>
    <row r="248" spans="1:27" ht="15.75" hidden="1" outlineLevel="1" x14ac:dyDescent="0.25">
      <c r="A248" s="216" t="s">
        <v>57</v>
      </c>
      <c r="B248" s="213" t="s">
        <v>12</v>
      </c>
      <c r="C248" s="218" t="s">
        <v>61</v>
      </c>
      <c r="D248" s="77" t="s">
        <v>14</v>
      </c>
      <c r="E248" s="78">
        <v>2603.0500000000002</v>
      </c>
      <c r="F248" s="78">
        <v>1762.57</v>
      </c>
      <c r="G248" s="79">
        <v>5041.45</v>
      </c>
      <c r="H248" s="260">
        <v>4346.09</v>
      </c>
      <c r="I248" s="80">
        <v>3618</v>
      </c>
      <c r="J248" s="80">
        <v>1487.18</v>
      </c>
      <c r="K248" s="80">
        <v>8855</v>
      </c>
      <c r="L248" s="80"/>
      <c r="M248" s="80"/>
      <c r="N248" s="80"/>
      <c r="O248" s="80"/>
      <c r="P248" s="80"/>
      <c r="Q248" s="90">
        <f>+SUM(E248:P248)</f>
        <v>27713.34</v>
      </c>
      <c r="R248" s="301">
        <f>Q248/Q249</f>
        <v>0.61585199999999996</v>
      </c>
      <c r="S248" s="110" t="e">
        <v>#DIV/0!</v>
      </c>
      <c r="V248"/>
      <c r="W248"/>
      <c r="X248"/>
      <c r="Y248"/>
      <c r="Z248"/>
      <c r="AA248"/>
    </row>
    <row r="249" spans="1:27" ht="16.5" hidden="1" outlineLevel="1" thickBot="1" x14ac:dyDescent="0.3">
      <c r="A249" s="217"/>
      <c r="B249" s="129"/>
      <c r="C249" s="219"/>
      <c r="D249" s="81" t="s">
        <v>1</v>
      </c>
      <c r="E249" s="248">
        <v>2500</v>
      </c>
      <c r="F249" s="82">
        <v>2500</v>
      </c>
      <c r="G249" s="82">
        <v>3500</v>
      </c>
      <c r="H249" s="82">
        <v>5000</v>
      </c>
      <c r="I249" s="82">
        <v>4000</v>
      </c>
      <c r="J249" s="82">
        <v>4500</v>
      </c>
      <c r="K249" s="88">
        <v>3000</v>
      </c>
      <c r="L249" s="88">
        <v>3500</v>
      </c>
      <c r="M249" s="88">
        <v>3500</v>
      </c>
      <c r="N249" s="88">
        <v>4500</v>
      </c>
      <c r="O249" s="88">
        <v>3000</v>
      </c>
      <c r="P249" s="88">
        <v>5500</v>
      </c>
      <c r="Q249" s="141">
        <f>SUM(E249:P249)</f>
        <v>45000</v>
      </c>
      <c r="R249" s="302"/>
      <c r="S249" s="109">
        <f>Q249/$Q$273</f>
        <v>2.8122363528419211E-3</v>
      </c>
      <c r="V249"/>
      <c r="W249"/>
      <c r="X249"/>
      <c r="Y249"/>
      <c r="Z249"/>
      <c r="AA249"/>
    </row>
    <row r="250" spans="1:27" ht="16.5" hidden="1" outlineLevel="1" thickBot="1" x14ac:dyDescent="0.3">
      <c r="A250" s="216" t="s">
        <v>57</v>
      </c>
      <c r="B250" s="213" t="s">
        <v>23</v>
      </c>
      <c r="C250" s="214" t="s">
        <v>62</v>
      </c>
      <c r="D250" s="77" t="s">
        <v>14</v>
      </c>
      <c r="E250" s="250">
        <v>30508.7</v>
      </c>
      <c r="F250" s="78">
        <v>31795.13</v>
      </c>
      <c r="G250" s="79">
        <v>89723.91</v>
      </c>
      <c r="H250" s="260">
        <v>62469.34</v>
      </c>
      <c r="I250" s="122">
        <v>28763.81</v>
      </c>
      <c r="J250" s="122">
        <v>43564</v>
      </c>
      <c r="K250" s="80">
        <v>47388.800000000003</v>
      </c>
      <c r="L250" s="80"/>
      <c r="M250" s="80"/>
      <c r="N250" s="80"/>
      <c r="O250" s="80"/>
      <c r="P250" s="80"/>
      <c r="Q250" s="241">
        <f>+SUM(E250:P250)</f>
        <v>334213.69</v>
      </c>
      <c r="R250" s="311" t="e">
        <f>Q250/Q251</f>
        <v>#DIV/0!</v>
      </c>
      <c r="S250" s="242" t="e">
        <v>#DIV/0!</v>
      </c>
      <c r="V250"/>
      <c r="W250"/>
      <c r="X250"/>
      <c r="Y250"/>
      <c r="Z250"/>
      <c r="AA250"/>
    </row>
    <row r="251" spans="1:27" ht="15.75" hidden="1" outlineLevel="1" x14ac:dyDescent="0.25">
      <c r="A251" s="217"/>
      <c r="B251" s="129"/>
      <c r="C251" s="215"/>
      <c r="D251" s="84" t="s">
        <v>25</v>
      </c>
      <c r="E251" s="249"/>
      <c r="F251" s="124"/>
      <c r="G251" s="124"/>
      <c r="H251" s="124"/>
      <c r="I251" s="124"/>
      <c r="J251" s="124"/>
      <c r="K251" s="93"/>
      <c r="L251" s="93"/>
      <c r="M251" s="93"/>
      <c r="N251" s="93"/>
      <c r="O251" s="93"/>
      <c r="P251" s="93"/>
      <c r="Q251" s="91">
        <f>SUM(E251:P251)</f>
        <v>0</v>
      </c>
      <c r="R251" s="312"/>
      <c r="S251" s="111" t="e">
        <v>#DIV/0!</v>
      </c>
      <c r="V251"/>
      <c r="W251"/>
      <c r="X251"/>
      <c r="Y251"/>
      <c r="Z251"/>
      <c r="AA251"/>
    </row>
    <row r="252" spans="1:27" ht="16.5" hidden="1" outlineLevel="1" thickBot="1" x14ac:dyDescent="0.3">
      <c r="A252" s="217"/>
      <c r="B252" s="129"/>
      <c r="C252" s="215"/>
      <c r="D252" s="81" t="s">
        <v>1</v>
      </c>
      <c r="E252" s="82">
        <v>40000</v>
      </c>
      <c r="F252" s="82">
        <v>50000</v>
      </c>
      <c r="G252" s="82">
        <v>45000</v>
      </c>
      <c r="H252" s="82">
        <v>40000</v>
      </c>
      <c r="I252" s="82">
        <v>50000</v>
      </c>
      <c r="J252" s="82">
        <v>50000</v>
      </c>
      <c r="K252" s="88">
        <v>40000</v>
      </c>
      <c r="L252" s="88">
        <v>50000</v>
      </c>
      <c r="M252" s="88">
        <v>50000</v>
      </c>
      <c r="N252" s="88">
        <v>50000</v>
      </c>
      <c r="O252" s="88">
        <v>45000</v>
      </c>
      <c r="P252" s="88">
        <v>50000</v>
      </c>
      <c r="Q252" s="88">
        <f>SUM(E252:P252)</f>
        <v>560000</v>
      </c>
      <c r="R252" s="312"/>
      <c r="S252" s="109">
        <f>Q252/$Q$273</f>
        <v>3.4996719057588353E-2</v>
      </c>
      <c r="T252" s="130"/>
      <c r="U252" s="130"/>
      <c r="V252"/>
      <c r="W252"/>
      <c r="X252"/>
      <c r="Y252"/>
      <c r="Z252"/>
      <c r="AA252"/>
    </row>
    <row r="253" spans="1:27" ht="17.25" collapsed="1" thickTop="1" thickBot="1" x14ac:dyDescent="0.25">
      <c r="A253" s="226" t="s">
        <v>57</v>
      </c>
      <c r="B253" s="228" t="s">
        <v>0</v>
      </c>
      <c r="C253" s="226" t="s">
        <v>0</v>
      </c>
      <c r="D253" s="96" t="s">
        <v>14</v>
      </c>
      <c r="E253" s="97">
        <f>SUM(E250+E248+E251+E246+E244+E242+E240+E238+E236+E234+E232+E230+E228+E226+E224+E222+E220+E218)</f>
        <v>334027.90999999997</v>
      </c>
      <c r="F253" s="97">
        <f t="shared" ref="F253:P253" si="49">SUM(F250+F248+F251+F246+F244+F242+F240+F238+F236+F234+F232+F230+F228+F226+F224+F222+F220+F218)</f>
        <v>112401.0727</v>
      </c>
      <c r="G253" s="97">
        <f t="shared" si="49"/>
        <v>463376.89639999997</v>
      </c>
      <c r="H253" s="97">
        <f t="shared" si="49"/>
        <v>164019.53909999999</v>
      </c>
      <c r="I253" s="97">
        <f t="shared" si="49"/>
        <v>126946.68799999999</v>
      </c>
      <c r="J253" s="97">
        <f t="shared" si="49"/>
        <v>84752.91</v>
      </c>
      <c r="K253" s="97">
        <f t="shared" si="49"/>
        <v>129760</v>
      </c>
      <c r="L253" s="97">
        <f t="shared" si="49"/>
        <v>0</v>
      </c>
      <c r="M253" s="97">
        <f t="shared" si="49"/>
        <v>0</v>
      </c>
      <c r="N253" s="97">
        <f t="shared" si="49"/>
        <v>0</v>
      </c>
      <c r="O253" s="97">
        <f t="shared" si="49"/>
        <v>0</v>
      </c>
      <c r="P253" s="97">
        <f t="shared" si="49"/>
        <v>0</v>
      </c>
      <c r="Q253" s="97">
        <f t="shared" ref="Q253" si="50">SUM(Q250+Q248+Q244+Q242+Q236+Q234+Q222+Q220+Q218+Q251+Q246+Q240+Q238)</f>
        <v>1286159.1571</v>
      </c>
      <c r="R253" s="315">
        <f>Q253/Q254</f>
        <v>0.62586820296836976</v>
      </c>
      <c r="S253" s="110" t="e">
        <v>#DIV/0!</v>
      </c>
      <c r="T253" s="130"/>
    </row>
    <row r="254" spans="1:27" ht="17.25" thickTop="1" thickBot="1" x14ac:dyDescent="0.3">
      <c r="A254" s="227"/>
      <c r="B254" s="229"/>
      <c r="C254" s="227"/>
      <c r="D254" s="69" t="s">
        <v>143</v>
      </c>
      <c r="E254" s="19">
        <f>SUM(E252+E249+E247+E245+E243+E241+E239+E237+E235+E233+E231+E229+E227+E225+E223+E221+E219)</f>
        <v>128000</v>
      </c>
      <c r="F254" s="19">
        <f t="shared" ref="F254:P254" si="51">SUM(F252+F249+F247+F245+F243+F241+F239+F237+F235+F233+F231+F229+F227+F225+F223+F221+F219)</f>
        <v>438500</v>
      </c>
      <c r="G254" s="19">
        <f t="shared" si="51"/>
        <v>273000</v>
      </c>
      <c r="H254" s="19">
        <f t="shared" si="51"/>
        <v>127000</v>
      </c>
      <c r="I254" s="19">
        <f t="shared" si="51"/>
        <v>144000</v>
      </c>
      <c r="J254" s="19">
        <f t="shared" si="51"/>
        <v>133500</v>
      </c>
      <c r="K254" s="19">
        <f t="shared" si="51"/>
        <v>117500</v>
      </c>
      <c r="L254" s="19">
        <f t="shared" si="51"/>
        <v>142000</v>
      </c>
      <c r="M254" s="19">
        <f t="shared" si="51"/>
        <v>141000</v>
      </c>
      <c r="N254" s="19">
        <f t="shared" si="51"/>
        <v>140500</v>
      </c>
      <c r="O254" s="19">
        <f t="shared" si="51"/>
        <v>122000</v>
      </c>
      <c r="P254" s="19">
        <f t="shared" si="51"/>
        <v>148000</v>
      </c>
      <c r="Q254" s="19">
        <f>SUM(Q252+Q249+Q247+Q245+Q243+Q241+Q239+Q237+Q235+Q233+Q231+Q229+Q227+Q225+Q223+Q221+Q219)</f>
        <v>2055000</v>
      </c>
      <c r="R254" s="315"/>
      <c r="S254" s="109">
        <f>Q254/$Q$273</f>
        <v>0.1284254601131144</v>
      </c>
    </row>
    <row r="255" spans="1:27" ht="17.25" thickTop="1" thickBot="1" x14ac:dyDescent="0.3">
      <c r="A255" s="227"/>
      <c r="B255" s="229"/>
      <c r="C255" s="227"/>
      <c r="D255" s="70" t="s">
        <v>2</v>
      </c>
      <c r="E255" s="8">
        <f t="shared" ref="E255:P255" si="52">E253/E254</f>
        <v>2.6095930468749997</v>
      </c>
      <c r="F255" s="8">
        <v>0.2394420899509804</v>
      </c>
      <c r="G255" s="8">
        <f t="shared" si="52"/>
        <v>1.6973512688644687</v>
      </c>
      <c r="H255" s="8">
        <f t="shared" si="52"/>
        <v>1.2914924338582676</v>
      </c>
      <c r="I255" s="8">
        <f t="shared" si="52"/>
        <v>0.88157422222222215</v>
      </c>
      <c r="J255" s="8">
        <f t="shared" si="52"/>
        <v>0.63485325842696627</v>
      </c>
      <c r="K255" s="8">
        <f t="shared" si="52"/>
        <v>1.1043404255319149</v>
      </c>
      <c r="L255" s="8">
        <f t="shared" si="52"/>
        <v>0</v>
      </c>
      <c r="M255" s="8">
        <f t="shared" si="52"/>
        <v>0</v>
      </c>
      <c r="N255" s="8">
        <f t="shared" si="52"/>
        <v>0</v>
      </c>
      <c r="O255" s="8">
        <f t="shared" si="52"/>
        <v>0</v>
      </c>
      <c r="P255" s="8">
        <f t="shared" si="52"/>
        <v>0</v>
      </c>
      <c r="Q255" s="50">
        <f>Q253/Q254</f>
        <v>0.62586820296836976</v>
      </c>
      <c r="R255" s="315"/>
      <c r="S255" s="103"/>
    </row>
    <row r="256" spans="1:27" ht="17.25" thickTop="1" thickBot="1" x14ac:dyDescent="0.3">
      <c r="A256" s="227"/>
      <c r="B256" s="229"/>
      <c r="C256" s="227"/>
      <c r="D256" s="71" t="s">
        <v>3</v>
      </c>
      <c r="E256" s="10">
        <f>E253-E254</f>
        <v>206027.90999999997</v>
      </c>
      <c r="F256" s="10">
        <v>-310307.62729999999</v>
      </c>
      <c r="G256" s="10">
        <f t="shared" ref="G256:P256" si="53">G253-G254</f>
        <v>190376.89639999997</v>
      </c>
      <c r="H256" s="10">
        <f t="shared" si="53"/>
        <v>37019.539099999995</v>
      </c>
      <c r="I256" s="10">
        <f t="shared" si="53"/>
        <v>-17053.312000000005</v>
      </c>
      <c r="J256" s="10">
        <f t="shared" si="53"/>
        <v>-48747.09</v>
      </c>
      <c r="K256" s="10">
        <f t="shared" si="53"/>
        <v>12260</v>
      </c>
      <c r="L256" s="10">
        <f t="shared" si="53"/>
        <v>-142000</v>
      </c>
      <c r="M256" s="10">
        <f t="shared" si="53"/>
        <v>-141000</v>
      </c>
      <c r="N256" s="10">
        <f t="shared" si="53"/>
        <v>-140500</v>
      </c>
      <c r="O256" s="10">
        <f t="shared" si="53"/>
        <v>-122000</v>
      </c>
      <c r="P256" s="10">
        <f t="shared" si="53"/>
        <v>-148000</v>
      </c>
      <c r="Q256" s="51">
        <f>Q253-Q254</f>
        <v>-768840.84290000005</v>
      </c>
      <c r="R256" s="315"/>
      <c r="S256" s="104"/>
    </row>
    <row r="257" spans="1:20" ht="16.5" thickBot="1" x14ac:dyDescent="0.3">
      <c r="A257" s="227"/>
      <c r="B257" s="229"/>
      <c r="C257" s="227"/>
      <c r="D257" s="72" t="s">
        <v>4</v>
      </c>
      <c r="E257" s="52">
        <f>E256/E253</f>
        <v>0.61679848848558794</v>
      </c>
      <c r="F257" s="52">
        <v>-3.1763751736577484</v>
      </c>
      <c r="G257" s="9">
        <f t="shared" ref="G257:P257" si="54">G256/G253</f>
        <v>0.41084675968752071</v>
      </c>
      <c r="H257" s="9">
        <f>H256/H253</f>
        <v>0.22570200662147816</v>
      </c>
      <c r="I257" s="9">
        <f t="shared" si="54"/>
        <v>-0.13433443809105131</v>
      </c>
      <c r="J257" s="9">
        <f t="shared" si="54"/>
        <v>-0.57516715355260362</v>
      </c>
      <c r="K257" s="9">
        <f t="shared" si="54"/>
        <v>9.4482120838471018E-2</v>
      </c>
      <c r="L257" s="9" t="e">
        <f t="shared" si="54"/>
        <v>#DIV/0!</v>
      </c>
      <c r="M257" s="9" t="e">
        <f t="shared" si="54"/>
        <v>#DIV/0!</v>
      </c>
      <c r="N257" s="9" t="e">
        <f t="shared" si="54"/>
        <v>#DIV/0!</v>
      </c>
      <c r="O257" s="9" t="e">
        <f t="shared" si="54"/>
        <v>#DIV/0!</v>
      </c>
      <c r="P257" s="9" t="e">
        <f t="shared" si="54"/>
        <v>#DIV/0!</v>
      </c>
      <c r="Q257" s="52">
        <f>Q256/Q253</f>
        <v>-0.59778048358615543</v>
      </c>
      <c r="R257" s="22"/>
      <c r="S257" s="107"/>
    </row>
    <row r="258" spans="1:20" ht="15.75" thickBot="1" x14ac:dyDescent="0.25">
      <c r="A258" s="6"/>
      <c r="B258" s="6"/>
      <c r="C258" s="75"/>
      <c r="D258" s="99" t="s">
        <v>26</v>
      </c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100"/>
      <c r="Q258" s="99"/>
      <c r="R258" s="98"/>
      <c r="S258" s="106"/>
    </row>
    <row r="259" spans="1:20" ht="15.75" hidden="1" outlineLevel="1" x14ac:dyDescent="0.25">
      <c r="A259" s="216" t="s">
        <v>63</v>
      </c>
      <c r="B259" s="213" t="s">
        <v>23</v>
      </c>
      <c r="C259" s="218" t="s">
        <v>63</v>
      </c>
      <c r="D259" s="77" t="s">
        <v>14</v>
      </c>
      <c r="E259" s="78">
        <v>6703.46</v>
      </c>
      <c r="F259" s="78">
        <v>13445.69</v>
      </c>
      <c r="G259" s="79">
        <v>21551.61</v>
      </c>
      <c r="H259" s="260">
        <v>4921.2299999999996</v>
      </c>
      <c r="I259" s="80">
        <v>7363.33</v>
      </c>
      <c r="J259" s="80">
        <v>3352.58</v>
      </c>
      <c r="K259" s="80">
        <v>8845.4599999999991</v>
      </c>
      <c r="L259" s="80"/>
      <c r="M259" s="80"/>
      <c r="N259" s="80"/>
      <c r="O259" s="80"/>
      <c r="P259" s="80"/>
      <c r="Q259" s="90">
        <f>+SUM(E259:P259)</f>
        <v>66183.360000000015</v>
      </c>
      <c r="R259" s="301">
        <f>Q259/Q260</f>
        <v>0.57802061135371197</v>
      </c>
      <c r="S259" s="110" t="e">
        <v>#DIV/0!</v>
      </c>
    </row>
    <row r="260" spans="1:20" ht="16.5" hidden="1" outlineLevel="1" thickBot="1" x14ac:dyDescent="0.3">
      <c r="A260" s="217"/>
      <c r="B260" s="129"/>
      <c r="C260" s="219"/>
      <c r="D260" s="81" t="s">
        <v>1</v>
      </c>
      <c r="E260" s="101">
        <v>8000</v>
      </c>
      <c r="F260" s="101">
        <v>8000</v>
      </c>
      <c r="G260" s="101">
        <v>8000</v>
      </c>
      <c r="H260" s="101">
        <v>10500</v>
      </c>
      <c r="I260" s="101">
        <v>10000</v>
      </c>
      <c r="J260" s="101">
        <v>12000</v>
      </c>
      <c r="K260" s="101">
        <v>9000</v>
      </c>
      <c r="L260" s="101">
        <v>8500</v>
      </c>
      <c r="M260" s="101">
        <v>10000</v>
      </c>
      <c r="N260" s="101">
        <v>10000</v>
      </c>
      <c r="O260" s="101">
        <v>8500</v>
      </c>
      <c r="P260" s="101">
        <v>12000</v>
      </c>
      <c r="Q260" s="141">
        <f>SUM(E260:P260)</f>
        <v>114500</v>
      </c>
      <c r="R260" s="302"/>
      <c r="S260" s="109">
        <v>8.9600127449099374E-3</v>
      </c>
    </row>
    <row r="261" spans="1:20" ht="15.75" hidden="1" outlineLevel="1" x14ac:dyDescent="0.25">
      <c r="A261" s="213" t="s">
        <v>64</v>
      </c>
      <c r="B261" s="230" t="s">
        <v>65</v>
      </c>
      <c r="C261" s="214" t="s">
        <v>65</v>
      </c>
      <c r="D261" s="77" t="s">
        <v>14</v>
      </c>
      <c r="E261" s="78"/>
      <c r="F261" s="78">
        <v>0</v>
      </c>
      <c r="G261" s="79"/>
      <c r="H261" s="260"/>
      <c r="I261" s="80"/>
      <c r="J261" s="80"/>
      <c r="K261" s="80"/>
      <c r="L261" s="80"/>
      <c r="M261" s="80"/>
      <c r="N261" s="80"/>
      <c r="O261" s="80"/>
      <c r="P261" s="80"/>
      <c r="Q261" s="90">
        <f>+SUM(E261:P261)</f>
        <v>0</v>
      </c>
      <c r="R261" s="301">
        <f>Q261/Q262</f>
        <v>0</v>
      </c>
      <c r="S261" s="110" t="e">
        <v>#DIV/0!</v>
      </c>
      <c r="T261" s="130"/>
    </row>
    <row r="262" spans="1:20" ht="16.5" hidden="1" outlineLevel="1" thickBot="1" x14ac:dyDescent="0.3">
      <c r="A262" s="129"/>
      <c r="B262" s="231"/>
      <c r="C262" s="215"/>
      <c r="D262" s="81" t="s">
        <v>1</v>
      </c>
      <c r="E262" s="101"/>
      <c r="F262" s="101"/>
      <c r="G262" s="101"/>
      <c r="H262" s="101"/>
      <c r="I262" s="101"/>
      <c r="J262" s="101"/>
      <c r="K262" s="101"/>
      <c r="L262" s="101"/>
      <c r="M262" s="101">
        <v>5000</v>
      </c>
      <c r="N262" s="101">
        <v>5000</v>
      </c>
      <c r="O262" s="101">
        <v>5000</v>
      </c>
      <c r="P262" s="101">
        <v>5000</v>
      </c>
      <c r="Q262" s="141">
        <f>SUM(E262:P262)</f>
        <v>20000</v>
      </c>
      <c r="R262" s="302"/>
      <c r="S262" s="109">
        <f>Q262/$Q$273</f>
        <v>1.2498828234852983E-3</v>
      </c>
    </row>
    <row r="263" spans="1:20" ht="15.75" hidden="1" outlineLevel="1" x14ac:dyDescent="0.25">
      <c r="A263" s="213" t="s">
        <v>66</v>
      </c>
      <c r="B263" s="213" t="s">
        <v>67</v>
      </c>
      <c r="C263" s="214" t="s">
        <v>67</v>
      </c>
      <c r="D263" s="77" t="s">
        <v>14</v>
      </c>
      <c r="E263" s="78"/>
      <c r="F263" s="78">
        <v>0</v>
      </c>
      <c r="G263" s="79">
        <v>8390.6200000000008</v>
      </c>
      <c r="H263" s="260"/>
      <c r="I263" s="80">
        <v>6038.64</v>
      </c>
      <c r="J263" s="80">
        <v>8866.9699999999993</v>
      </c>
      <c r="K263" s="80">
        <v>11878.85</v>
      </c>
      <c r="L263" s="80"/>
      <c r="M263" s="80"/>
      <c r="N263" s="80"/>
      <c r="O263" s="80"/>
      <c r="P263" s="80"/>
      <c r="Q263" s="90">
        <f>+SUM(E263:P263)</f>
        <v>35175.08</v>
      </c>
      <c r="R263" s="301">
        <f>Q263/Q264</f>
        <v>0.29312566666666667</v>
      </c>
      <c r="S263" s="110" t="e">
        <v>#DIV/0!</v>
      </c>
    </row>
    <row r="264" spans="1:20" ht="16.5" hidden="1" outlineLevel="1" thickBot="1" x14ac:dyDescent="0.3">
      <c r="A264" s="129"/>
      <c r="B264" s="129"/>
      <c r="C264" s="215"/>
      <c r="D264" s="81" t="s">
        <v>1</v>
      </c>
      <c r="E264" s="101"/>
      <c r="F264" s="101"/>
      <c r="G264" s="101"/>
      <c r="H264" s="101">
        <v>40000</v>
      </c>
      <c r="I264" s="101"/>
      <c r="J264" s="101">
        <v>10000</v>
      </c>
      <c r="K264" s="101"/>
      <c r="L264" s="101"/>
      <c r="M264" s="101">
        <v>10000</v>
      </c>
      <c r="N264" s="101">
        <v>20000</v>
      </c>
      <c r="O264" s="101">
        <v>20000</v>
      </c>
      <c r="P264" s="101">
        <v>20000</v>
      </c>
      <c r="Q264" s="141">
        <f>SUM(E264:P264)</f>
        <v>120000</v>
      </c>
      <c r="R264" s="302"/>
      <c r="S264" s="109">
        <f>Q264/$Q$273</f>
        <v>7.4992969409117894E-3</v>
      </c>
    </row>
    <row r="265" spans="1:20" ht="17.25" collapsed="1" thickTop="1" thickBot="1" x14ac:dyDescent="0.25">
      <c r="A265" s="228" t="s">
        <v>63</v>
      </c>
      <c r="B265" s="228" t="s">
        <v>0</v>
      </c>
      <c r="C265" s="226" t="s">
        <v>0</v>
      </c>
      <c r="D265" s="23" t="s">
        <v>14</v>
      </c>
      <c r="E265" s="74">
        <f t="shared" ref="E265:Q265" si="55">SUM(E259,E261,E263)</f>
        <v>6703.46</v>
      </c>
      <c r="F265" s="74">
        <v>13445.69</v>
      </c>
      <c r="G265" s="74">
        <f t="shared" si="55"/>
        <v>29942.230000000003</v>
      </c>
      <c r="H265" s="74">
        <f t="shared" si="55"/>
        <v>4921.2299999999996</v>
      </c>
      <c r="I265" s="74">
        <f t="shared" si="55"/>
        <v>13401.970000000001</v>
      </c>
      <c r="J265" s="74">
        <f t="shared" si="55"/>
        <v>12219.55</v>
      </c>
      <c r="K265" s="74">
        <f t="shared" si="55"/>
        <v>20724.309999999998</v>
      </c>
      <c r="L265" s="74">
        <f t="shared" si="55"/>
        <v>0</v>
      </c>
      <c r="M265" s="74">
        <f t="shared" si="55"/>
        <v>0</v>
      </c>
      <c r="N265" s="74">
        <f t="shared" si="55"/>
        <v>0</v>
      </c>
      <c r="O265" s="74">
        <f t="shared" si="55"/>
        <v>0</v>
      </c>
      <c r="P265" s="74">
        <f t="shared" si="55"/>
        <v>0</v>
      </c>
      <c r="Q265" s="74">
        <f t="shared" si="55"/>
        <v>101358.44000000002</v>
      </c>
      <c r="R265" s="315">
        <f>Q265/Q266</f>
        <v>0.39826499017681738</v>
      </c>
      <c r="S265" s="123" t="e">
        <v>#DIV/0!</v>
      </c>
    </row>
    <row r="266" spans="1:20" ht="17.25" thickTop="1" thickBot="1" x14ac:dyDescent="0.3">
      <c r="A266" s="229"/>
      <c r="B266" s="229"/>
      <c r="C266" s="227"/>
      <c r="D266" s="24" t="s">
        <v>143</v>
      </c>
      <c r="E266" s="27">
        <f t="shared" ref="E266:Q266" si="56">SUM(E260,E262,E264)</f>
        <v>8000</v>
      </c>
      <c r="F266" s="27">
        <v>8000</v>
      </c>
      <c r="G266" s="27">
        <f t="shared" si="56"/>
        <v>8000</v>
      </c>
      <c r="H266" s="27">
        <f t="shared" si="56"/>
        <v>50500</v>
      </c>
      <c r="I266" s="27">
        <f t="shared" si="56"/>
        <v>10000</v>
      </c>
      <c r="J266" s="27">
        <f t="shared" si="56"/>
        <v>22000</v>
      </c>
      <c r="K266" s="27">
        <f t="shared" si="56"/>
        <v>9000</v>
      </c>
      <c r="L266" s="27">
        <f t="shared" si="56"/>
        <v>8500</v>
      </c>
      <c r="M266" s="27">
        <f t="shared" si="56"/>
        <v>25000</v>
      </c>
      <c r="N266" s="27">
        <f t="shared" si="56"/>
        <v>35000</v>
      </c>
      <c r="O266" s="27">
        <f t="shared" si="56"/>
        <v>33500</v>
      </c>
      <c r="P266" s="27">
        <f t="shared" si="56"/>
        <v>37000</v>
      </c>
      <c r="Q266" s="27">
        <f t="shared" si="56"/>
        <v>254500</v>
      </c>
      <c r="R266" s="315"/>
      <c r="S266" s="109">
        <f>Q266/$Q$273</f>
        <v>1.5904758928850422E-2</v>
      </c>
    </row>
    <row r="267" spans="1:20" ht="17.25" thickTop="1" thickBot="1" x14ac:dyDescent="0.3">
      <c r="A267" s="229"/>
      <c r="B267" s="229"/>
      <c r="C267" s="227"/>
      <c r="D267" s="25" t="s">
        <v>2</v>
      </c>
      <c r="E267" s="8">
        <f>E265/E266</f>
        <v>0.83793249999999997</v>
      </c>
      <c r="F267" s="8">
        <v>1.6807112500000001</v>
      </c>
      <c r="G267" s="8">
        <f>G265/G266</f>
        <v>3.7427787500000003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2.18E-2</v>
      </c>
      <c r="N267" s="20">
        <v>4.2857142857142858E-2</v>
      </c>
      <c r="O267" s="20">
        <v>0</v>
      </c>
      <c r="P267" s="41">
        <v>0</v>
      </c>
      <c r="Q267" s="50">
        <f>Q265/Q266</f>
        <v>0.39826499017681738</v>
      </c>
      <c r="R267" s="315"/>
      <c r="S267" s="103"/>
    </row>
    <row r="268" spans="1:20" ht="17.25" thickTop="1" thickBot="1" x14ac:dyDescent="0.3">
      <c r="A268" s="229"/>
      <c r="B268" s="229"/>
      <c r="C268" s="227"/>
      <c r="D268" s="26" t="s">
        <v>3</v>
      </c>
      <c r="E268" s="28">
        <f>E265-E266</f>
        <v>-1296.54</v>
      </c>
      <c r="F268" s="28">
        <v>5445.6900000000005</v>
      </c>
      <c r="G268" s="28">
        <v>-8000</v>
      </c>
      <c r="H268" s="28">
        <v>-50500</v>
      </c>
      <c r="I268" s="28">
        <v>-10000</v>
      </c>
      <c r="J268" s="28">
        <v>-22000</v>
      </c>
      <c r="K268" s="28">
        <v>-9000</v>
      </c>
      <c r="L268" s="28">
        <v>-8500</v>
      </c>
      <c r="M268" s="28">
        <v>-24455</v>
      </c>
      <c r="N268" s="28">
        <v>-33500</v>
      </c>
      <c r="O268" s="28">
        <v>-33500</v>
      </c>
      <c r="P268" s="42">
        <v>-37000</v>
      </c>
      <c r="Q268" s="53">
        <f>Q265-Q266</f>
        <v>-153141.56</v>
      </c>
      <c r="R268" s="315"/>
      <c r="S268" s="104"/>
    </row>
    <row r="269" spans="1:20" ht="16.5" thickBot="1" x14ac:dyDescent="0.3">
      <c r="A269" s="229"/>
      <c r="B269" s="229"/>
      <c r="C269" s="227"/>
      <c r="D269" s="73" t="s">
        <v>4</v>
      </c>
      <c r="E269" s="52">
        <f>E268/E265</f>
        <v>-0.19341355061416043</v>
      </c>
      <c r="F269" s="52">
        <v>0.40501379996117715</v>
      </c>
      <c r="G269" s="21" t="e">
        <v>#DIV/0!</v>
      </c>
      <c r="H269" s="9">
        <f>H268/H265</f>
        <v>-10.261662226719745</v>
      </c>
      <c r="I269" s="9">
        <f t="shared" ref="I269:P269" si="57">I268/I265</f>
        <v>-0.74615896021256567</v>
      </c>
      <c r="J269" s="9">
        <f t="shared" si="57"/>
        <v>-1.8003936315167091</v>
      </c>
      <c r="K269" s="9">
        <f t="shared" si="57"/>
        <v>-0.43427260063181844</v>
      </c>
      <c r="L269" s="9" t="e">
        <f t="shared" si="57"/>
        <v>#DIV/0!</v>
      </c>
      <c r="M269" s="9" t="e">
        <f t="shared" si="57"/>
        <v>#DIV/0!</v>
      </c>
      <c r="N269" s="9" t="e">
        <f t="shared" si="57"/>
        <v>#DIV/0!</v>
      </c>
      <c r="O269" s="9" t="e">
        <f t="shared" si="57"/>
        <v>#DIV/0!</v>
      </c>
      <c r="P269" s="9" t="e">
        <f t="shared" si="57"/>
        <v>#DIV/0!</v>
      </c>
      <c r="Q269" s="52">
        <f>Q268/Q265</f>
        <v>-1.5108910515986629</v>
      </c>
      <c r="R269" s="22"/>
      <c r="S269" s="107"/>
    </row>
    <row r="270" spans="1:20" x14ac:dyDescent="0.2">
      <c r="A270" s="106"/>
      <c r="B270" s="106"/>
      <c r="C270" s="121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</row>
    <row r="271" spans="1:20" ht="16.5" thickBot="1" x14ac:dyDescent="0.25">
      <c r="A271" s="4"/>
      <c r="B271" s="4"/>
      <c r="C271" s="76"/>
      <c r="D271" s="2"/>
      <c r="E271" s="258"/>
      <c r="F271" s="258"/>
      <c r="G271" s="25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5"/>
      <c r="S271" s="1"/>
    </row>
    <row r="272" spans="1:20" ht="17.25" thickTop="1" thickBot="1" x14ac:dyDescent="0.25">
      <c r="A272" s="232" t="s">
        <v>68</v>
      </c>
      <c r="B272" s="233"/>
      <c r="C272" s="234"/>
      <c r="D272" s="256" t="s">
        <v>14</v>
      </c>
      <c r="E272" s="259">
        <v>1690699.71</v>
      </c>
      <c r="F272" s="259">
        <v>1246190.1322999999</v>
      </c>
      <c r="G272" s="259">
        <v>1415618.2381</v>
      </c>
      <c r="H272" s="257">
        <f>SUM(H265+H253+H212+H195+H177+H143+H120+H81+H46)</f>
        <v>1188808.6433000001</v>
      </c>
      <c r="I272" s="30">
        <f t="shared" ref="I272:P272" si="58">SUM(I265+I253+I212+I195+I177+I143+I120+I81+I46)</f>
        <v>1006132.6309</v>
      </c>
      <c r="J272" s="30">
        <f t="shared" si="58"/>
        <v>1183305.4099999999</v>
      </c>
      <c r="K272" s="30">
        <f t="shared" si="58"/>
        <v>935719.57</v>
      </c>
      <c r="L272" s="30">
        <f t="shared" si="58"/>
        <v>0</v>
      </c>
      <c r="M272" s="30">
        <f t="shared" si="58"/>
        <v>0</v>
      </c>
      <c r="N272" s="30">
        <f t="shared" si="58"/>
        <v>0</v>
      </c>
      <c r="O272" s="30">
        <f t="shared" si="58"/>
        <v>0</v>
      </c>
      <c r="P272" s="30">
        <f t="shared" si="58"/>
        <v>0</v>
      </c>
      <c r="Q272" s="30">
        <f>SUM(Q265+Q253+Q212+Q195+Q177+Q143+Q120+Q81+Q46)</f>
        <v>8410986.3238000013</v>
      </c>
      <c r="R272" s="317">
        <f>Q272/Q273</f>
        <v>0.52563736673436878</v>
      </c>
      <c r="S272" s="30" t="e">
        <v>#DIV/0!</v>
      </c>
    </row>
    <row r="273" spans="1:19" ht="17.25" thickTop="1" thickBot="1" x14ac:dyDescent="0.25">
      <c r="A273" s="235"/>
      <c r="B273" s="236"/>
      <c r="C273" s="237"/>
      <c r="D273" s="31" t="s">
        <v>143</v>
      </c>
      <c r="E273" s="134">
        <f>SUM(E266+E254+E213+E196+E178+E144+E121+E82+E47)</f>
        <v>1367915</v>
      </c>
      <c r="F273" s="134">
        <f t="shared" ref="F273:Q273" si="59">SUM(F266+F254+F213+F196+F178+F144+F121+F82+F47)</f>
        <v>1447617</v>
      </c>
      <c r="G273" s="134">
        <f t="shared" si="59"/>
        <v>1634117</v>
      </c>
      <c r="H273" s="134">
        <f t="shared" si="59"/>
        <v>1176017</v>
      </c>
      <c r="I273" s="134">
        <f t="shared" si="59"/>
        <v>1174967</v>
      </c>
      <c r="J273" s="134">
        <f t="shared" si="59"/>
        <v>1061017</v>
      </c>
      <c r="K273" s="134">
        <f t="shared" si="59"/>
        <v>1088017</v>
      </c>
      <c r="L273" s="134">
        <f t="shared" si="59"/>
        <v>1260017</v>
      </c>
      <c r="M273" s="134">
        <f t="shared" si="59"/>
        <v>1386767</v>
      </c>
      <c r="N273" s="134">
        <f t="shared" si="59"/>
        <v>1446717</v>
      </c>
      <c r="O273" s="134">
        <f t="shared" si="59"/>
        <v>1599667</v>
      </c>
      <c r="P273" s="134">
        <f t="shared" si="59"/>
        <v>1358665</v>
      </c>
      <c r="Q273" s="134">
        <f t="shared" si="59"/>
        <v>16001500</v>
      </c>
      <c r="R273" s="317"/>
      <c r="S273" s="109">
        <f>Q272/$Q$273</f>
        <v>0.52563736673436878</v>
      </c>
    </row>
    <row r="274" spans="1:19" ht="17.25" thickTop="1" thickBot="1" x14ac:dyDescent="0.3">
      <c r="A274" s="235"/>
      <c r="B274" s="236"/>
      <c r="C274" s="237"/>
      <c r="D274" s="13" t="s">
        <v>2</v>
      </c>
      <c r="E274" s="8">
        <f t="shared" ref="E274:P274" si="60">E272/E273</f>
        <v>1.2359683971591802</v>
      </c>
      <c r="F274" s="8">
        <v>0.82673305989848522</v>
      </c>
      <c r="G274" s="8">
        <f t="shared" si="60"/>
        <v>0.8662894016156738</v>
      </c>
      <c r="H274" s="8">
        <f t="shared" si="60"/>
        <v>1.0108770904672297</v>
      </c>
      <c r="I274" s="8">
        <f t="shared" si="60"/>
        <v>0.85630713960477189</v>
      </c>
      <c r="J274" s="8">
        <f t="shared" si="60"/>
        <v>1.1152558441570681</v>
      </c>
      <c r="K274" s="8">
        <f t="shared" si="60"/>
        <v>0.8600229316269874</v>
      </c>
      <c r="L274" s="8">
        <f t="shared" si="60"/>
        <v>0</v>
      </c>
      <c r="M274" s="8">
        <f t="shared" si="60"/>
        <v>0</v>
      </c>
      <c r="N274" s="8">
        <f t="shared" si="60"/>
        <v>0</v>
      </c>
      <c r="O274" s="8">
        <f t="shared" si="60"/>
        <v>0</v>
      </c>
      <c r="P274" s="8">
        <f t="shared" si="60"/>
        <v>0</v>
      </c>
      <c r="Q274" s="43">
        <f>Q272/Q273</f>
        <v>0.52563736673436878</v>
      </c>
      <c r="R274" s="317"/>
      <c r="S274" s="108"/>
    </row>
    <row r="275" spans="1:19" ht="17.25" thickTop="1" thickBot="1" x14ac:dyDescent="0.3">
      <c r="A275" s="235"/>
      <c r="B275" s="236"/>
      <c r="C275" s="237"/>
      <c r="D275" s="32" t="s">
        <v>3</v>
      </c>
      <c r="E275" s="33">
        <f>E272-E273</f>
        <v>322784.70999999996</v>
      </c>
      <c r="F275" s="33">
        <v>-261176.86770000006</v>
      </c>
      <c r="G275" s="33">
        <f t="shared" ref="G275:P275" si="61">G272-G273</f>
        <v>-218498.76190000004</v>
      </c>
      <c r="H275" s="33">
        <f t="shared" si="61"/>
        <v>12791.643300000113</v>
      </c>
      <c r="I275" s="33">
        <f t="shared" si="61"/>
        <v>-168834.36910000001</v>
      </c>
      <c r="J275" s="33">
        <f t="shared" si="61"/>
        <v>122288.40999999992</v>
      </c>
      <c r="K275" s="33">
        <f t="shared" si="61"/>
        <v>-152297.43000000005</v>
      </c>
      <c r="L275" s="33">
        <f t="shared" si="61"/>
        <v>-1260017</v>
      </c>
      <c r="M275" s="33">
        <f t="shared" si="61"/>
        <v>-1386767</v>
      </c>
      <c r="N275" s="33">
        <f t="shared" si="61"/>
        <v>-1446717</v>
      </c>
      <c r="O275" s="33">
        <f t="shared" si="61"/>
        <v>-1599667</v>
      </c>
      <c r="P275" s="33">
        <f t="shared" si="61"/>
        <v>-1358665</v>
      </c>
      <c r="Q275" s="54">
        <f>Q272-Q273</f>
        <v>-7590513.6761999987</v>
      </c>
      <c r="R275" s="317"/>
      <c r="S275" s="126"/>
    </row>
    <row r="276" spans="1:19" ht="17.25" thickTop="1" thickBot="1" x14ac:dyDescent="0.25">
      <c r="A276" s="238"/>
      <c r="B276" s="239"/>
      <c r="C276" s="240"/>
      <c r="D276" s="34" t="s">
        <v>4</v>
      </c>
      <c r="E276" s="55">
        <f>E275/E272</f>
        <v>0.19091782419481221</v>
      </c>
      <c r="F276" s="55">
        <v>-0.20958027264905832</v>
      </c>
      <c r="G276" s="55">
        <f t="shared" ref="G276:P276" si="62">G275/G272</f>
        <v>-0.1543486485404868</v>
      </c>
      <c r="H276" s="55">
        <f t="shared" si="62"/>
        <v>1.0760052403801455E-2</v>
      </c>
      <c r="I276" s="55">
        <f t="shared" si="62"/>
        <v>-0.16780528124704122</v>
      </c>
      <c r="J276" s="55">
        <f t="shared" si="62"/>
        <v>0.10334475695501123</v>
      </c>
      <c r="K276" s="55">
        <f t="shared" si="62"/>
        <v>-0.1627596930563289</v>
      </c>
      <c r="L276" s="55" t="e">
        <f t="shared" si="62"/>
        <v>#DIV/0!</v>
      </c>
      <c r="M276" s="55" t="e">
        <f t="shared" si="62"/>
        <v>#DIV/0!</v>
      </c>
      <c r="N276" s="55" t="e">
        <f t="shared" si="62"/>
        <v>#DIV/0!</v>
      </c>
      <c r="O276" s="55" t="e">
        <f t="shared" si="62"/>
        <v>#DIV/0!</v>
      </c>
      <c r="P276" s="55" t="e">
        <f t="shared" si="62"/>
        <v>#DIV/0!</v>
      </c>
      <c r="Q276" s="55">
        <f>Q275/Q272</f>
        <v>-0.90245226706903969</v>
      </c>
      <c r="R276" s="35"/>
      <c r="S276" s="107"/>
    </row>
    <row r="277" spans="1:19" ht="15.75" thickTop="1" x14ac:dyDescent="0.2">
      <c r="Q277" s="139"/>
    </row>
    <row r="279" spans="1:19" hidden="1" x14ac:dyDescent="0.2"/>
    <row r="280" spans="1:19" hidden="1" x14ac:dyDescent="0.2"/>
    <row r="281" spans="1:19" hidden="1" x14ac:dyDescent="0.2"/>
    <row r="282" spans="1:19" hidden="1" x14ac:dyDescent="0.2"/>
    <row r="283" spans="1:19" hidden="1" x14ac:dyDescent="0.2"/>
    <row r="284" spans="1:19" hidden="1" x14ac:dyDescent="0.2"/>
    <row r="285" spans="1:19" hidden="1" x14ac:dyDescent="0.2"/>
    <row r="286" spans="1:19" collapsed="1" x14ac:dyDescent="0.2"/>
  </sheetData>
  <autoFilter ref="A2:P269" xr:uid="{43BA3DA2-58F2-4CA6-B97D-601275A894A0}"/>
  <mergeCells count="117">
    <mergeCell ref="R97:R98"/>
    <mergeCell ref="R74:R75"/>
    <mergeCell ref="R78:R80"/>
    <mergeCell ref="R81:R84"/>
    <mergeCell ref="R76:R77"/>
    <mergeCell ref="R87:R88"/>
    <mergeCell ref="R109:R110"/>
    <mergeCell ref="R111:R112"/>
    <mergeCell ref="R107:R108"/>
    <mergeCell ref="R89:R90"/>
    <mergeCell ref="R91:R92"/>
    <mergeCell ref="R195:R198"/>
    <mergeCell ref="R201:R202"/>
    <mergeCell ref="R193:R194"/>
    <mergeCell ref="R171:R172"/>
    <mergeCell ref="R189:R190"/>
    <mergeCell ref="R191:R192"/>
    <mergeCell ref="R115:R116"/>
    <mergeCell ref="R99:R100"/>
    <mergeCell ref="R101:R102"/>
    <mergeCell ref="R103:R104"/>
    <mergeCell ref="R105:R106"/>
    <mergeCell ref="R46:R49"/>
    <mergeCell ref="R41:R42"/>
    <mergeCell ref="R31:R32"/>
    <mergeCell ref="R33:R34"/>
    <mergeCell ref="R187:R188"/>
    <mergeCell ref="R224:R225"/>
    <mergeCell ref="R175:R176"/>
    <mergeCell ref="R185:R186"/>
    <mergeCell ref="R169:R170"/>
    <mergeCell ref="R173:R174"/>
    <mergeCell ref="R183:R184"/>
    <mergeCell ref="R165:R166"/>
    <mergeCell ref="R167:R168"/>
    <mergeCell ref="R177:R180"/>
    <mergeCell ref="R149:R150"/>
    <mergeCell ref="R64:R65"/>
    <mergeCell ref="R66:R67"/>
    <mergeCell ref="R68:R69"/>
    <mergeCell ref="R70:R71"/>
    <mergeCell ref="R72:R73"/>
    <mergeCell ref="R39:R40"/>
    <mergeCell ref="R140:R142"/>
    <mergeCell ref="R143:R146"/>
    <mergeCell ref="R136:R137"/>
    <mergeCell ref="R265:R268"/>
    <mergeCell ref="R272:R275"/>
    <mergeCell ref="R244:R245"/>
    <mergeCell ref="R248:R249"/>
    <mergeCell ref="R246:R247"/>
    <mergeCell ref="R259:R260"/>
    <mergeCell ref="R261:R262"/>
    <mergeCell ref="R250:R252"/>
    <mergeCell ref="R253:R256"/>
    <mergeCell ref="R263:R264"/>
    <mergeCell ref="R242:R243"/>
    <mergeCell ref="R222:R223"/>
    <mergeCell ref="R234:R235"/>
    <mergeCell ref="R218:R219"/>
    <mergeCell ref="R220:R221"/>
    <mergeCell ref="R212:R215"/>
    <mergeCell ref="R207:R208"/>
    <mergeCell ref="R203:R204"/>
    <mergeCell ref="R205:R206"/>
    <mergeCell ref="R228:R229"/>
    <mergeCell ref="R209:R211"/>
    <mergeCell ref="R230:R231"/>
    <mergeCell ref="R232:R233"/>
    <mergeCell ref="R226:R227"/>
    <mergeCell ref="R240:R241"/>
    <mergeCell ref="R238:R239"/>
    <mergeCell ref="R236:R237"/>
    <mergeCell ref="R52:R53"/>
    <mergeCell ref="R54:R55"/>
    <mergeCell ref="R56:R57"/>
    <mergeCell ref="R58:R59"/>
    <mergeCell ref="R60:R61"/>
    <mergeCell ref="R62:R63"/>
    <mergeCell ref="R161:R162"/>
    <mergeCell ref="R163:R164"/>
    <mergeCell ref="R157:R158"/>
    <mergeCell ref="R159:R160"/>
    <mergeCell ref="R151:R152"/>
    <mergeCell ref="R155:R156"/>
    <mergeCell ref="R153:R154"/>
    <mergeCell ref="R93:R94"/>
    <mergeCell ref="R95:R96"/>
    <mergeCell ref="R117:R119"/>
    <mergeCell ref="R120:R123"/>
    <mergeCell ref="R113:R114"/>
    <mergeCell ref="R138:R139"/>
    <mergeCell ref="R126:R127"/>
    <mergeCell ref="R128:R129"/>
    <mergeCell ref="R130:R131"/>
    <mergeCell ref="R132:R133"/>
    <mergeCell ref="R134:R135"/>
    <mergeCell ref="R13:R14"/>
    <mergeCell ref="R29:R30"/>
    <mergeCell ref="R35:R36"/>
    <mergeCell ref="R43:R45"/>
    <mergeCell ref="R37:R38"/>
    <mergeCell ref="A1:P1"/>
    <mergeCell ref="S1:S2"/>
    <mergeCell ref="R3:R4"/>
    <mergeCell ref="R25:R26"/>
    <mergeCell ref="R15:R16"/>
    <mergeCell ref="R23:R24"/>
    <mergeCell ref="R7:R8"/>
    <mergeCell ref="Q1:R1"/>
    <mergeCell ref="R9:R10"/>
    <mergeCell ref="R5:R6"/>
    <mergeCell ref="R11:R12"/>
    <mergeCell ref="R27:R28"/>
    <mergeCell ref="R17:R18"/>
    <mergeCell ref="R19:R20"/>
    <mergeCell ref="R21:R22"/>
  </mergeCells>
  <conditionalFormatting sqref="E7:G7 L7:Q7 E8:P8 E9:G9 L9:Q9 E10:P10 E11:G11 L11:Q11 E12:P12 E13:G13 L13:Q13 E14:P14 E15:G15 L15:Q15 E23:G23 L23:Q23 E24:P24 E25:G25 L25:Q25 E26:P26 E27:G27 L27:Q27 E28:P28 E29:G29 L29:Q29 E30:P30 E31:G31 L31:Q31 E32:P32 E33:G33 L33:Q33 E34:P34 E35:G35 L35:Q35 E36:P36 E37:G37 E38:P38 E39:G39 E40:P40 E41:G41 E42:N42 E43:G43 I43 E44:P45">
    <cfRule type="containsErrors" dxfId="51" priority="29">
      <formula>ISERROR(E7)</formula>
    </cfRule>
  </conditionalFormatting>
  <conditionalFormatting sqref="E56:G56 L56:Q56">
    <cfRule type="containsErrors" dxfId="50" priority="13">
      <formula>ISERROR(E56)</formula>
    </cfRule>
  </conditionalFormatting>
  <conditionalFormatting sqref="E62:G62 L62:Q62">
    <cfRule type="containsErrors" dxfId="49" priority="12">
      <formula>ISERROR(E62)</formula>
    </cfRule>
  </conditionalFormatting>
  <conditionalFormatting sqref="E91:G91 L91:Q91">
    <cfRule type="containsErrors" dxfId="48" priority="9">
      <formula>ISERROR(E91)</formula>
    </cfRule>
  </conditionalFormatting>
  <conditionalFormatting sqref="E93:G93 L93:Q93">
    <cfRule type="containsErrors" dxfId="47" priority="8">
      <formula>ISERROR(E93)</formula>
    </cfRule>
  </conditionalFormatting>
  <conditionalFormatting sqref="E238:G238 L238:Q238 E239:Q239">
    <cfRule type="containsErrors" dxfId="46" priority="20">
      <formula>ISERROR(E238)</formula>
    </cfRule>
  </conditionalFormatting>
  <conditionalFormatting sqref="E16:P16 E17:G17 L17:P17 E18:P18 E19:G19 L19:P19 E20:P20 E21:G21 L21:P21 E22:P22">
    <cfRule type="containsErrors" dxfId="45" priority="5">
      <formula>ISERROR(E16)</formula>
    </cfRule>
  </conditionalFormatting>
  <conditionalFormatting sqref="E55:P55 E57:P57 E59:P59 L60:Q60 E61:P61 E63:P63 L64:Q64 E65:L65 M65:P67 Q66 E67:L67 E69:P69 E71:P71 E73:P73 Q74 M74:P78 Q76 Q78:Q79 E79:P80 E81:Q82">
    <cfRule type="containsErrors" dxfId="44" priority="28">
      <formula>ISERROR(E55)</formula>
    </cfRule>
  </conditionalFormatting>
  <conditionalFormatting sqref="E83:P86 E87:G87 L87:P87 E88:P88">
    <cfRule type="containsErrors" dxfId="43" priority="10">
      <formula>ISERROR(E83)</formula>
    </cfRule>
  </conditionalFormatting>
  <conditionalFormatting sqref="E90:P90 E92:P92 E94:P94 L95:Q95 E96:P96 E98:P98 L99:Q99 E100:L100 M100:P102 Q101 E102:L102 E104:P104 E106:P106 E108:P108 Q109 M109:P117 Q111 Q113 Q115 Q117:Q118 E118:P119 E120:Q121">
    <cfRule type="containsErrors" dxfId="42" priority="26">
      <formula>ISERROR(E90)</formula>
    </cfRule>
  </conditionalFormatting>
  <conditionalFormatting sqref="E122:P125 E126:G126 L126:P126 E127:P127">
    <cfRule type="containsErrors" dxfId="41" priority="7">
      <formula>ISERROR(E122)</formula>
    </cfRule>
  </conditionalFormatting>
  <conditionalFormatting sqref="E129:P129 E131:P131 E133:P133 L134:Q134 E135:P135 E137:P137 L138:Q138 E139:P139 Q140:Q141 E141:P142">
    <cfRule type="containsErrors" dxfId="40" priority="24">
      <formula>ISERROR(E129)</formula>
    </cfRule>
  </conditionalFormatting>
  <conditionalFormatting sqref="E46:Q51 E52:G52 E53:P53 E240:G240 E241:P241 E242:G242 E243:P243 E244:G244">
    <cfRule type="containsErrors" dxfId="39" priority="18">
      <formula>ISERROR(E46)</formula>
    </cfRule>
  </conditionalFormatting>
  <conditionalFormatting sqref="E143:Q144 E145:P148 E149:G149 L149:P149 E150:P150">
    <cfRule type="containsErrors" dxfId="38" priority="14">
      <formula>ISERROR(E143)</formula>
    </cfRule>
  </conditionalFormatting>
  <conditionalFormatting sqref="F3:G3 E183:G183 L183:N183 E184:N184">
    <cfRule type="containsErrors" dxfId="37" priority="21">
      <formula>ISERROR(E3)</formula>
    </cfRule>
  </conditionalFormatting>
  <conditionalFormatting sqref="F5:G5 E54:G54 L54:Q54 E58:G58 L58:Q58 E60:G60 E64:G64 E66:G66 E68:G68 L68:Q68 E70:G70 L70:Q70 E72:G72 L72:Q72 E74:G74 L74 E75:L75 E76:G76 L76 E77:L77 E78:G78 E89:G89 L89:Q89 E95:G95 E97:G97 L97:Q97 E99:G99 E101:G101 E103:G103 L103:Q103 E105:G105 L105:Q105 E107:G107 L107:Q107 E109:G109 L109 E110:L110 E111:G111 L111 E112:L112 E113:G113 L113 E114:L114 E115:G115 L115 E116:L116 E117:G117 I117 E128:G128 L128:Q128 E130:G130 L130:Q130 E132:G132 L132:Q132 E134:G134 E136:G136 L136:Q136 E140:G140 I140 E151:G151 E153:G153 L153:Q153 E155:G155 L155:Q155 E157:G157 L157:Q157 E159:G159 L159:Q159 E161:G161 L161:Q161 E163:G163 L163:Q163 E165:G165 L165:Q165 E167:G167 E168:M168 E169:G169 L169:M169 E170:M170 E173:G173 E175:G175 I175:Q175 E185:G185 E201:G201 E203:G203 L203:Q203 E205:G205 L205:Q205 E207:G207 L207:Q207 E208:P208 E209:G209 I209:P209 E210:P211 E218:G218 E220:G220 L220:Q220 E222:G222 L222:Q222 E234:G234 E236:G236 E237:P237 E246:G246 E248:G248 E250:G250 E259:G259 E261:G261 E263:G263">
    <cfRule type="containsErrors" dxfId="36" priority="37">
      <formula>ISERROR(E5)</formula>
    </cfRule>
  </conditionalFormatting>
  <conditionalFormatting sqref="I250">
    <cfRule type="containsErrors" dxfId="35" priority="1">
      <formula>ISERROR(I250)</formula>
    </cfRule>
  </conditionalFormatting>
  <conditionalFormatting sqref="L52:Q52 E138:G138 E171:G171 L171:Q171 E172:P172 O183:P194 E186:N186 E187:G187 L187:N187 E188:N188 E189:G189 L189:N189 E190:N190 E191:G191 L191:Q191 E192:P192 E193:G193 L193:N193 E194:N194 E223:P223 E224:G224 L224:Q224 E225:P225 E226:G226 L226:Q226 E227:P227 E228:G228 L228:Q228 E229:P229 E230:G230 L230:Q230 E231:P231 E232:G232 L232:Q232 E233:P233">
    <cfRule type="containsErrors" dxfId="34" priority="6">
      <formula>ISERROR(E52)</formula>
    </cfRule>
  </conditionalFormatting>
  <conditionalFormatting sqref="L151:Q151">
    <cfRule type="containsErrors" dxfId="33" priority="106">
      <formula>ISERROR(L151)</formula>
    </cfRule>
  </conditionalFormatting>
  <conditionalFormatting sqref="L242:Q242">
    <cfRule type="containsErrors" dxfId="32" priority="19">
      <formula>ISERROR(L242)</formula>
    </cfRule>
  </conditionalFormatting>
  <conditionalFormatting sqref="M201">
    <cfRule type="containsErrors" dxfId="31" priority="228">
      <formula>ISERROR(M201)</formula>
    </cfRule>
  </conditionalFormatting>
  <conditionalFormatting sqref="M185:N185">
    <cfRule type="containsErrors" dxfId="30" priority="92">
      <formula>ISERROR(M185)</formula>
    </cfRule>
  </conditionalFormatting>
  <conditionalFormatting sqref="M43:P43">
    <cfRule type="containsErrors" dxfId="29" priority="286">
      <formula>ISERROR(M43)</formula>
    </cfRule>
  </conditionalFormatting>
  <conditionalFormatting sqref="M140:P140">
    <cfRule type="containsErrors" dxfId="28" priority="66">
      <formula>ISERROR(M140)</formula>
    </cfRule>
  </conditionalFormatting>
  <conditionalFormatting sqref="M218:P218">
    <cfRule type="containsErrors" dxfId="27" priority="150">
      <formula>ISERROR(M218)</formula>
    </cfRule>
  </conditionalFormatting>
  <conditionalFormatting sqref="M250:P250">
    <cfRule type="containsErrors" dxfId="26" priority="134">
      <formula>ISERROR(M250)</formula>
    </cfRule>
  </conditionalFormatting>
  <conditionalFormatting sqref="M259:P259">
    <cfRule type="containsErrors" dxfId="25" priority="259">
      <formula>ISERROR(M259)</formula>
    </cfRule>
  </conditionalFormatting>
  <conditionalFormatting sqref="M240:Q240">
    <cfRule type="containsErrors" dxfId="24" priority="17">
      <formula>ISERROR(M240)</formula>
    </cfRule>
  </conditionalFormatting>
  <conditionalFormatting sqref="N13">
    <cfRule type="containsBlanks" dxfId="23" priority="120">
      <formula>LEN(TRIM(N13))=0</formula>
    </cfRule>
  </conditionalFormatting>
  <conditionalFormatting sqref="N41">
    <cfRule type="containsErrors" dxfId="22" priority="205">
      <formula>ISERROR(N41)</formula>
    </cfRule>
  </conditionalFormatting>
  <conditionalFormatting sqref="N201:P202">
    <cfRule type="containsErrors" dxfId="21" priority="202">
      <formula>ISERROR(N201)</formula>
    </cfRule>
  </conditionalFormatting>
  <conditionalFormatting sqref="Q3 Q5 M37:Q37 M39:Q39 Q41 O41:P42 Q43:Q44 E152:P152 E154:P154 E156:P156 E158:P158 E160:P160 E162:P162 E164:P164 E166:P166 M167:Q167 N168:P174 Q169 Q173 E174:M174 E176:P176 E177:Q178 E179:P182 Q185 Q187 Q189 Q193 E195:Q195 E196:P200 E202:M202 E204:P204 E206:P206 Q209:Q210 E212:Q212 E213:P217 E219:P219 E221:P221 M234:Q234 E235:P235 M236:Q236 M244:Q244 E245:P245 M246:Q246 E247:P247 M248:Q248 E249:P249 Q250:Q252 E251:P252 E253:Q254 E255:P258 E260:P260 M261:Q261 E262:P262 M263:Q263 E264:P264 E265:Q271 H272:Q272 E273:Q276">
    <cfRule type="containsErrors" dxfId="20" priority="108">
      <formula>ISERROR(E3)</formula>
    </cfRule>
  </conditionalFormatting>
  <conditionalFormatting sqref="Q17:Q21">
    <cfRule type="containsErrors" dxfId="19" priority="22">
      <formula>ISERROR(Q17)</formula>
    </cfRule>
  </conditionalFormatting>
  <conditionalFormatting sqref="Q83:Q87">
    <cfRule type="containsErrors" dxfId="18" priority="25">
      <formula>ISERROR(Q83)</formula>
    </cfRule>
  </conditionalFormatting>
  <conditionalFormatting sqref="Q122:Q126">
    <cfRule type="containsErrors" dxfId="17" priority="23">
      <formula>ISERROR(Q122)</formula>
    </cfRule>
  </conditionalFormatting>
  <conditionalFormatting sqref="Q145:Q149">
    <cfRule type="containsErrors" dxfId="16" priority="57">
      <formula>ISERROR(Q145)</formula>
    </cfRule>
  </conditionalFormatting>
  <conditionalFormatting sqref="Q179:Q183">
    <cfRule type="containsErrors" dxfId="15" priority="55">
      <formula>ISERROR(Q179)</formula>
    </cfRule>
  </conditionalFormatting>
  <conditionalFormatting sqref="Q196:Q201">
    <cfRule type="containsErrors" dxfId="14" priority="53">
      <formula>ISERROR(Q196)</formula>
    </cfRule>
  </conditionalFormatting>
  <conditionalFormatting sqref="Q213:Q218">
    <cfRule type="containsErrors" dxfId="13" priority="50">
      <formula>ISERROR(Q213)</formula>
    </cfRule>
  </conditionalFormatting>
  <conditionalFormatting sqref="Q255:Q259">
    <cfRule type="containsErrors" dxfId="12" priority="46">
      <formula>ISERROR(Q255)</formula>
    </cfRule>
  </conditionalFormatting>
  <conditionalFormatting sqref="S272">
    <cfRule type="containsErrors" dxfId="11" priority="256">
      <formula>ISERROR(S272)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6D9E-2DA8-4CCB-9A34-2667B03D0DD7}">
  <dimension ref="A1:M234"/>
  <sheetViews>
    <sheetView zoomScale="70" zoomScaleNormal="70" workbookViewId="0">
      <selection activeCell="G184" sqref="G184"/>
    </sheetView>
  </sheetViews>
  <sheetFormatPr defaultRowHeight="15" outlineLevelRow="2" x14ac:dyDescent="0.2"/>
  <cols>
    <col min="1" max="1" width="21.42578125" style="135" bestFit="1" customWidth="1"/>
    <col min="2" max="2" width="14.140625" style="135" hidden="1" customWidth="1"/>
    <col min="3" max="3" width="42.85546875" style="135" bestFit="1" customWidth="1"/>
    <col min="4" max="4" width="15" style="135" customWidth="1"/>
    <col min="5" max="5" width="14.7109375" style="135" customWidth="1"/>
    <col min="6" max="6" width="15.7109375" style="135" customWidth="1"/>
    <col min="7" max="7" width="15.42578125" style="135" customWidth="1"/>
    <col min="8" max="8" width="14.7109375" style="135" customWidth="1"/>
    <col min="9" max="9" width="15" style="135" hidden="1" customWidth="1"/>
    <col min="10" max="10" width="13.140625" style="135" hidden="1" customWidth="1"/>
    <col min="11" max="11" width="43.85546875" style="135" hidden="1" customWidth="1"/>
    <col min="12" max="12" width="21" style="135" customWidth="1"/>
    <col min="13" max="13" width="11.5703125" style="135" customWidth="1"/>
    <col min="14" max="16384" width="9.140625" style="135"/>
  </cols>
  <sheetData>
    <row r="1" spans="1:10" ht="37.5" customHeight="1" thickTop="1" thickBot="1" x14ac:dyDescent="0.25">
      <c r="A1" s="305" t="s">
        <v>157</v>
      </c>
      <c r="B1" s="306"/>
      <c r="C1" s="306"/>
      <c r="D1" s="306"/>
      <c r="E1" s="306"/>
      <c r="F1" s="306"/>
      <c r="G1" s="306"/>
      <c r="H1" s="310" t="s">
        <v>5</v>
      </c>
      <c r="I1" s="310"/>
      <c r="J1" s="308" t="s">
        <v>6</v>
      </c>
    </row>
    <row r="2" spans="1:10" ht="33" customHeight="1" thickTop="1" thickBot="1" x14ac:dyDescent="0.25">
      <c r="A2" s="112" t="s">
        <v>7</v>
      </c>
      <c r="B2" s="113" t="s">
        <v>8</v>
      </c>
      <c r="C2" s="114" t="s">
        <v>9</v>
      </c>
      <c r="D2" s="115"/>
      <c r="E2" s="116">
        <v>45839</v>
      </c>
      <c r="F2" s="116">
        <v>45870</v>
      </c>
      <c r="G2" s="116">
        <v>45901</v>
      </c>
      <c r="H2" s="116" t="s">
        <v>0</v>
      </c>
      <c r="I2" s="117" t="s">
        <v>10</v>
      </c>
      <c r="J2" s="309"/>
    </row>
    <row r="3" spans="1:10" ht="15.75" hidden="1" outlineLevel="1" x14ac:dyDescent="0.25">
      <c r="A3" s="216" t="s">
        <v>11</v>
      </c>
      <c r="B3" s="213" t="s">
        <v>12</v>
      </c>
      <c r="C3" s="224" t="s">
        <v>13</v>
      </c>
      <c r="D3" s="77" t="s">
        <v>14</v>
      </c>
      <c r="E3" s="78">
        <v>770</v>
      </c>
      <c r="F3" s="78">
        <v>7770.75</v>
      </c>
      <c r="G3" s="79">
        <v>5529.97</v>
      </c>
      <c r="H3" s="90">
        <f>+SUM(E3:G3)</f>
        <v>14070.720000000001</v>
      </c>
      <c r="I3" s="301">
        <f>H3/H4</f>
        <v>1.5989454545454547</v>
      </c>
      <c r="J3" s="110">
        <v>0</v>
      </c>
    </row>
    <row r="4" spans="1:10" ht="16.5" hidden="1" outlineLevel="1" thickBot="1" x14ac:dyDescent="0.3">
      <c r="A4" s="217"/>
      <c r="B4" s="129"/>
      <c r="C4" s="225"/>
      <c r="D4" s="81" t="s">
        <v>1</v>
      </c>
      <c r="E4" s="140">
        <v>3000</v>
      </c>
      <c r="F4" s="140">
        <v>4200</v>
      </c>
      <c r="G4" s="140">
        <v>1600</v>
      </c>
      <c r="H4" s="141">
        <f>SUM(E4:G4)</f>
        <v>8800</v>
      </c>
      <c r="I4" s="302"/>
      <c r="J4" s="109">
        <f>H4/$H$230</f>
        <v>1.9731388535928727E-3</v>
      </c>
    </row>
    <row r="5" spans="1:10" ht="15.75" hidden="1" outlineLevel="1" x14ac:dyDescent="0.25">
      <c r="A5" s="216" t="s">
        <v>11</v>
      </c>
      <c r="B5" s="213" t="s">
        <v>12</v>
      </c>
      <c r="C5" s="222" t="s">
        <v>91</v>
      </c>
      <c r="D5" s="77" t="s">
        <v>14</v>
      </c>
      <c r="E5" s="78">
        <v>179440.36</v>
      </c>
      <c r="F5" s="78">
        <v>138218.79999999999</v>
      </c>
      <c r="G5" s="79">
        <v>37125.06</v>
      </c>
      <c r="H5" s="90">
        <f>+SUM(E5:G5)</f>
        <v>354784.22</v>
      </c>
      <c r="I5" s="301">
        <f>H5/H6</f>
        <v>1.2670865</v>
      </c>
      <c r="J5" s="111">
        <v>0</v>
      </c>
    </row>
    <row r="6" spans="1:10" ht="16.5" hidden="1" outlineLevel="1" thickBot="1" x14ac:dyDescent="0.3">
      <c r="A6" s="217"/>
      <c r="B6" s="129"/>
      <c r="C6" s="223"/>
      <c r="D6" s="81" t="s">
        <v>1</v>
      </c>
      <c r="E6" s="140">
        <v>105000</v>
      </c>
      <c r="F6" s="140">
        <v>100000</v>
      </c>
      <c r="G6" s="140">
        <v>75000</v>
      </c>
      <c r="H6" s="141">
        <f>SUM(E6:G6)</f>
        <v>280000</v>
      </c>
      <c r="I6" s="302"/>
      <c r="J6" s="109">
        <f>H6/$H$230</f>
        <v>6.2781690796136866E-2</v>
      </c>
    </row>
    <row r="7" spans="1:10" ht="15.75" hidden="1" outlineLevel="1" x14ac:dyDescent="0.25">
      <c r="A7" s="216" t="s">
        <v>11</v>
      </c>
      <c r="B7" s="213" t="s">
        <v>12</v>
      </c>
      <c r="C7" s="222" t="s">
        <v>94</v>
      </c>
      <c r="D7" s="77" t="s">
        <v>14</v>
      </c>
      <c r="E7" s="78"/>
      <c r="F7" s="78">
        <v>7973.4671000000008</v>
      </c>
      <c r="G7" s="79">
        <v>154525.82570000004</v>
      </c>
      <c r="H7" s="90">
        <f>+SUM(E7:G7)</f>
        <v>162499.29280000005</v>
      </c>
      <c r="I7" s="301">
        <f>H7/H8</f>
        <v>0.73863314909090938</v>
      </c>
      <c r="J7" s="111">
        <v>0</v>
      </c>
    </row>
    <row r="8" spans="1:10" ht="16.5" hidden="1" outlineLevel="1" thickBot="1" x14ac:dyDescent="0.3">
      <c r="A8" s="217"/>
      <c r="B8" s="129"/>
      <c r="C8" s="223"/>
      <c r="D8" s="81" t="s">
        <v>1</v>
      </c>
      <c r="E8" s="140"/>
      <c r="F8" s="140"/>
      <c r="G8" s="140">
        <v>220000</v>
      </c>
      <c r="H8" s="141">
        <f>SUM(E8:G8)</f>
        <v>220000</v>
      </c>
      <c r="I8" s="302"/>
      <c r="J8" s="109">
        <f>H8/$H$230</f>
        <v>4.9328471339821822E-2</v>
      </c>
    </row>
    <row r="9" spans="1:10" ht="15.75" hidden="1" outlineLevel="1" x14ac:dyDescent="0.25">
      <c r="A9" s="216" t="s">
        <v>11</v>
      </c>
      <c r="B9" s="213" t="s">
        <v>12</v>
      </c>
      <c r="C9" s="224" t="s">
        <v>15</v>
      </c>
      <c r="D9" s="77" t="s">
        <v>14</v>
      </c>
      <c r="E9" s="78">
        <v>2856</v>
      </c>
      <c r="F9" s="78">
        <v>3702</v>
      </c>
      <c r="G9" s="79">
        <v>9691</v>
      </c>
      <c r="H9" s="90">
        <f>+SUM(E9:G9)</f>
        <v>16249</v>
      </c>
      <c r="I9" s="301">
        <f>H9/H10</f>
        <v>1.1606428571428571</v>
      </c>
      <c r="J9" s="110">
        <v>0</v>
      </c>
    </row>
    <row r="10" spans="1:10" ht="16.5" hidden="1" outlineLevel="1" thickBot="1" x14ac:dyDescent="0.3">
      <c r="A10" s="217"/>
      <c r="B10" s="129"/>
      <c r="C10" s="225"/>
      <c r="D10" s="81" t="s">
        <v>1</v>
      </c>
      <c r="E10" s="140">
        <v>4000</v>
      </c>
      <c r="F10" s="140">
        <v>5000</v>
      </c>
      <c r="G10" s="140">
        <v>5000</v>
      </c>
      <c r="H10" s="141">
        <f>SUM(E10:G10)</f>
        <v>14000</v>
      </c>
      <c r="I10" s="302"/>
      <c r="J10" s="109">
        <f>H10/$H$230</f>
        <v>3.1390845398068432E-3</v>
      </c>
    </row>
    <row r="11" spans="1:10" ht="15.75" hidden="1" outlineLevel="1" x14ac:dyDescent="0.25">
      <c r="A11" s="216" t="s">
        <v>11</v>
      </c>
      <c r="B11" s="213" t="s">
        <v>12</v>
      </c>
      <c r="C11" s="224" t="s">
        <v>16</v>
      </c>
      <c r="D11" s="77" t="s">
        <v>14</v>
      </c>
      <c r="E11" s="78">
        <v>2144</v>
      </c>
      <c r="F11" s="78">
        <v>8159.5</v>
      </c>
      <c r="G11" s="79">
        <v>4008</v>
      </c>
      <c r="H11" s="90">
        <f>+SUM(E11:G11)</f>
        <v>14311.5</v>
      </c>
      <c r="I11" s="301">
        <f>H11/H12</f>
        <v>1.5064736842105264</v>
      </c>
      <c r="J11" s="110">
        <v>0</v>
      </c>
    </row>
    <row r="12" spans="1:10" ht="16.5" hidden="1" outlineLevel="1" thickBot="1" x14ac:dyDescent="0.3">
      <c r="A12" s="217"/>
      <c r="B12" s="129"/>
      <c r="C12" s="225"/>
      <c r="D12" s="81" t="s">
        <v>1</v>
      </c>
      <c r="E12" s="140">
        <v>4000</v>
      </c>
      <c r="F12" s="140">
        <v>4000</v>
      </c>
      <c r="G12" s="140">
        <v>1500</v>
      </c>
      <c r="H12" s="141">
        <f>SUM(E12:G12)</f>
        <v>9500</v>
      </c>
      <c r="I12" s="302"/>
      <c r="J12" s="109">
        <f>H12/$H$230</f>
        <v>2.130093080583215E-3</v>
      </c>
    </row>
    <row r="13" spans="1:10" ht="15.75" hidden="1" outlineLevel="1" x14ac:dyDescent="0.25">
      <c r="A13" s="216" t="s">
        <v>11</v>
      </c>
      <c r="B13" s="213" t="s">
        <v>12</v>
      </c>
      <c r="C13" s="224" t="s">
        <v>17</v>
      </c>
      <c r="D13" s="77" t="s">
        <v>14</v>
      </c>
      <c r="E13" s="78">
        <v>5435.32</v>
      </c>
      <c r="F13" s="78">
        <v>7118.27</v>
      </c>
      <c r="G13" s="79">
        <v>10258.049999999999</v>
      </c>
      <c r="H13" s="90">
        <f>+SUM(E13:G13)</f>
        <v>22811.64</v>
      </c>
      <c r="I13" s="301">
        <f>H13/H14</f>
        <v>1.2330616216216217</v>
      </c>
      <c r="J13" s="110">
        <v>0</v>
      </c>
    </row>
    <row r="14" spans="1:10" ht="16.5" hidden="1" outlineLevel="1" thickBot="1" x14ac:dyDescent="0.3">
      <c r="A14" s="217"/>
      <c r="B14" s="129"/>
      <c r="C14" s="225"/>
      <c r="D14" s="81" t="s">
        <v>1</v>
      </c>
      <c r="E14" s="140">
        <v>6000</v>
      </c>
      <c r="F14" s="140">
        <v>6000</v>
      </c>
      <c r="G14" s="140">
        <v>6500</v>
      </c>
      <c r="H14" s="141">
        <f>SUM(E14:G14)</f>
        <v>18500</v>
      </c>
      <c r="I14" s="302"/>
      <c r="J14" s="109">
        <f>H14/$H$230</f>
        <v>4.1480759990304714E-3</v>
      </c>
    </row>
    <row r="15" spans="1:10" ht="15.75" hidden="1" outlineLevel="1" x14ac:dyDescent="0.25">
      <c r="A15" s="216" t="s">
        <v>11</v>
      </c>
      <c r="B15" s="213" t="s">
        <v>12</v>
      </c>
      <c r="C15" s="224" t="s">
        <v>133</v>
      </c>
      <c r="D15" s="77" t="s">
        <v>14</v>
      </c>
      <c r="E15" s="78">
        <v>1304.78</v>
      </c>
      <c r="F15" s="78"/>
      <c r="G15" s="79">
        <v>44262</v>
      </c>
      <c r="H15" s="90">
        <f>+SUM(E15:G15)</f>
        <v>45566.78</v>
      </c>
      <c r="I15" s="301">
        <f>H15/H16</f>
        <v>2.4630691891891892</v>
      </c>
      <c r="J15" s="110">
        <v>0</v>
      </c>
    </row>
    <row r="16" spans="1:10" ht="16.5" hidden="1" outlineLevel="1" thickBot="1" x14ac:dyDescent="0.3">
      <c r="A16" s="217"/>
      <c r="B16" s="129"/>
      <c r="C16" s="225"/>
      <c r="D16" s="81" t="s">
        <v>1</v>
      </c>
      <c r="E16" s="140">
        <v>2500</v>
      </c>
      <c r="F16" s="140">
        <v>8000</v>
      </c>
      <c r="G16" s="140">
        <v>8000</v>
      </c>
      <c r="H16" s="141">
        <f>SUM(E16:G16)</f>
        <v>18500</v>
      </c>
      <c r="I16" s="302"/>
      <c r="J16" s="109">
        <f>H16/$H$230</f>
        <v>4.1480759990304714E-3</v>
      </c>
    </row>
    <row r="17" spans="1:10" ht="15.75" hidden="1" outlineLevel="1" x14ac:dyDescent="0.25">
      <c r="A17" s="216" t="s">
        <v>11</v>
      </c>
      <c r="B17" s="213" t="s">
        <v>12</v>
      </c>
      <c r="C17" s="224" t="s">
        <v>18</v>
      </c>
      <c r="D17" s="77" t="s">
        <v>14</v>
      </c>
      <c r="E17" s="78">
        <v>10031.030000000001</v>
      </c>
      <c r="F17" s="78">
        <v>55953.408000000003</v>
      </c>
      <c r="G17" s="79"/>
      <c r="H17" s="90">
        <f>+SUM(E17:G17)</f>
        <v>65984.438000000009</v>
      </c>
      <c r="I17" s="301">
        <f>H17/H18</f>
        <v>1.0997406333333335</v>
      </c>
      <c r="J17" s="110">
        <v>0</v>
      </c>
    </row>
    <row r="18" spans="1:10" ht="16.5" hidden="1" outlineLevel="1" thickBot="1" x14ac:dyDescent="0.3">
      <c r="A18" s="217"/>
      <c r="B18" s="129"/>
      <c r="C18" s="225"/>
      <c r="D18" s="81" t="s">
        <v>1</v>
      </c>
      <c r="E18" s="140">
        <v>20000</v>
      </c>
      <c r="F18" s="140">
        <v>20000</v>
      </c>
      <c r="G18" s="140">
        <v>20000</v>
      </c>
      <c r="H18" s="141">
        <f>SUM(E18:G18)</f>
        <v>60000</v>
      </c>
      <c r="I18" s="302"/>
      <c r="J18" s="109">
        <f>H18/$H$230</f>
        <v>1.3453219456315042E-2</v>
      </c>
    </row>
    <row r="19" spans="1:10" ht="15.75" hidden="1" outlineLevel="1" x14ac:dyDescent="0.25">
      <c r="A19" s="216" t="s">
        <v>11</v>
      </c>
      <c r="B19" s="213" t="s">
        <v>12</v>
      </c>
      <c r="C19" s="224" t="s">
        <v>136</v>
      </c>
      <c r="D19" s="77" t="s">
        <v>14</v>
      </c>
      <c r="E19" s="78">
        <v>7328.96</v>
      </c>
      <c r="F19" s="78">
        <v>3975.5526999999997</v>
      </c>
      <c r="G19" s="79">
        <v>1436.6626000000001</v>
      </c>
      <c r="H19" s="90">
        <f>+SUM(E19:G19)</f>
        <v>12741.175299999999</v>
      </c>
      <c r="I19" s="301">
        <f>H19/H20</f>
        <v>0.42470584333333328</v>
      </c>
      <c r="J19" s="110">
        <v>0</v>
      </c>
    </row>
    <row r="20" spans="1:10" ht="16.5" hidden="1" outlineLevel="1" thickBot="1" x14ac:dyDescent="0.3">
      <c r="A20" s="217"/>
      <c r="B20" s="129"/>
      <c r="C20" s="225"/>
      <c r="D20" s="81" t="s">
        <v>1</v>
      </c>
      <c r="E20" s="140">
        <v>10000</v>
      </c>
      <c r="F20" s="140">
        <v>10000</v>
      </c>
      <c r="G20" s="140">
        <v>10000</v>
      </c>
      <c r="H20" s="141">
        <f>SUM(E20:G20)</f>
        <v>30000</v>
      </c>
      <c r="I20" s="302"/>
      <c r="J20" s="109">
        <f>H20/$H$230</f>
        <v>6.726609728157521E-3</v>
      </c>
    </row>
    <row r="21" spans="1:10" ht="15.75" hidden="1" outlineLevel="1" x14ac:dyDescent="0.25">
      <c r="A21" s="216" t="s">
        <v>11</v>
      </c>
      <c r="B21" s="213" t="s">
        <v>12</v>
      </c>
      <c r="C21" s="224" t="s">
        <v>129</v>
      </c>
      <c r="D21" s="77" t="s">
        <v>14</v>
      </c>
      <c r="E21" s="78">
        <v>12661.63</v>
      </c>
      <c r="F21" s="78">
        <v>7797.22</v>
      </c>
      <c r="G21" s="79">
        <v>16019.05</v>
      </c>
      <c r="H21" s="90">
        <f>+SUM(E21:G21)</f>
        <v>36477.899999999994</v>
      </c>
      <c r="I21" s="301">
        <f>H21/H22</f>
        <v>2.3534129032258062</v>
      </c>
      <c r="J21" s="110">
        <v>0</v>
      </c>
    </row>
    <row r="22" spans="1:10" ht="16.5" hidden="1" outlineLevel="1" thickBot="1" x14ac:dyDescent="0.3">
      <c r="A22" s="217"/>
      <c r="B22" s="129"/>
      <c r="C22" s="225"/>
      <c r="D22" s="81" t="s">
        <v>1</v>
      </c>
      <c r="E22" s="140">
        <v>5000</v>
      </c>
      <c r="F22" s="140">
        <v>5500</v>
      </c>
      <c r="G22" s="140">
        <v>5000</v>
      </c>
      <c r="H22" s="141">
        <f>SUM(E22:G22)</f>
        <v>15500</v>
      </c>
      <c r="I22" s="302"/>
      <c r="J22" s="109">
        <f>H22/$H$230</f>
        <v>3.4754150262147191E-3</v>
      </c>
    </row>
    <row r="23" spans="1:10" ht="15.75" hidden="1" outlineLevel="1" x14ac:dyDescent="0.25">
      <c r="A23" s="216" t="s">
        <v>11</v>
      </c>
      <c r="B23" s="213" t="s">
        <v>12</v>
      </c>
      <c r="C23" s="224" t="s">
        <v>108</v>
      </c>
      <c r="D23" s="77" t="s">
        <v>14</v>
      </c>
      <c r="E23" s="78">
        <v>7674.8</v>
      </c>
      <c r="F23" s="78">
        <v>10950.26</v>
      </c>
      <c r="G23" s="79">
        <v>5299.2691999999997</v>
      </c>
      <c r="H23" s="90">
        <f>+SUM(E23:G23)</f>
        <v>23924.3292</v>
      </c>
      <c r="I23" s="301">
        <f>H23/H24</f>
        <v>1.5435051096774193</v>
      </c>
      <c r="J23" s="110">
        <v>0</v>
      </c>
    </row>
    <row r="24" spans="1:10" ht="16.5" hidden="1" outlineLevel="1" thickBot="1" x14ac:dyDescent="0.3">
      <c r="A24" s="217"/>
      <c r="B24" s="129"/>
      <c r="C24" s="225"/>
      <c r="D24" s="81" t="s">
        <v>1</v>
      </c>
      <c r="E24" s="140">
        <v>5500</v>
      </c>
      <c r="F24" s="140">
        <v>5500</v>
      </c>
      <c r="G24" s="140">
        <v>4500</v>
      </c>
      <c r="H24" s="141">
        <f>SUM(E24:G24)</f>
        <v>15500</v>
      </c>
      <c r="I24" s="302"/>
      <c r="J24" s="109">
        <f>H24/$H$230</f>
        <v>3.4754150262147191E-3</v>
      </c>
    </row>
    <row r="25" spans="1:10" ht="15.75" hidden="1" outlineLevel="1" x14ac:dyDescent="0.25">
      <c r="A25" s="216" t="s">
        <v>11</v>
      </c>
      <c r="B25" s="213" t="s">
        <v>12</v>
      </c>
      <c r="C25" s="224" t="s">
        <v>73</v>
      </c>
      <c r="D25" s="77" t="s">
        <v>14</v>
      </c>
      <c r="E25" s="78">
        <v>314</v>
      </c>
      <c r="F25" s="78"/>
      <c r="G25" s="79">
        <v>330</v>
      </c>
      <c r="H25" s="90">
        <f>+SUM(E25:G25)</f>
        <v>644</v>
      </c>
      <c r="I25" s="301">
        <f>H25/H26</f>
        <v>3.5777777777777776E-2</v>
      </c>
      <c r="J25" s="110">
        <v>0</v>
      </c>
    </row>
    <row r="26" spans="1:10" ht="16.5" hidden="1" outlineLevel="1" thickBot="1" x14ac:dyDescent="0.3">
      <c r="A26" s="217"/>
      <c r="B26" s="129"/>
      <c r="C26" s="225"/>
      <c r="D26" s="81" t="s">
        <v>1</v>
      </c>
      <c r="E26" s="140">
        <v>6000</v>
      </c>
      <c r="F26" s="140">
        <v>6000</v>
      </c>
      <c r="G26" s="140">
        <v>6000</v>
      </c>
      <c r="H26" s="141">
        <f>SUM(E26:G26)</f>
        <v>18000</v>
      </c>
      <c r="I26" s="302"/>
      <c r="J26" s="109">
        <f>H26/$H$230</f>
        <v>4.0359658368945128E-3</v>
      </c>
    </row>
    <row r="27" spans="1:10" ht="15.75" hidden="1" outlineLevel="1" x14ac:dyDescent="0.25">
      <c r="A27" s="216" t="s">
        <v>11</v>
      </c>
      <c r="B27" s="213" t="s">
        <v>12</v>
      </c>
      <c r="C27" s="224" t="s">
        <v>19</v>
      </c>
      <c r="D27" s="77" t="s">
        <v>14</v>
      </c>
      <c r="E27" s="78">
        <v>6185.5</v>
      </c>
      <c r="F27" s="78">
        <v>6568.12</v>
      </c>
      <c r="G27" s="79">
        <v>1233</v>
      </c>
      <c r="H27" s="90">
        <f>+SUM(E27:G27)</f>
        <v>13986.619999999999</v>
      </c>
      <c r="I27" s="301">
        <f>H27/H28</f>
        <v>1.1189296</v>
      </c>
      <c r="J27" s="110">
        <v>0</v>
      </c>
    </row>
    <row r="28" spans="1:10" ht="16.5" hidden="1" outlineLevel="1" thickBot="1" x14ac:dyDescent="0.3">
      <c r="A28" s="217"/>
      <c r="B28" s="129"/>
      <c r="C28" s="225"/>
      <c r="D28" s="81" t="s">
        <v>1</v>
      </c>
      <c r="E28" s="140">
        <v>4000</v>
      </c>
      <c r="F28" s="140">
        <v>4000</v>
      </c>
      <c r="G28" s="140">
        <v>4500</v>
      </c>
      <c r="H28" s="141">
        <f>SUM(E28:G28)</f>
        <v>12500</v>
      </c>
      <c r="I28" s="302"/>
      <c r="J28" s="109">
        <f>H28/$H$230</f>
        <v>2.8027540533989673E-3</v>
      </c>
    </row>
    <row r="29" spans="1:10" ht="15.75" hidden="1" outlineLevel="1" x14ac:dyDescent="0.25">
      <c r="A29" s="216" t="s">
        <v>11</v>
      </c>
      <c r="B29" s="213" t="s">
        <v>12</v>
      </c>
      <c r="C29" s="224" t="s">
        <v>90</v>
      </c>
      <c r="D29" s="77" t="s">
        <v>14</v>
      </c>
      <c r="E29" s="78"/>
      <c r="F29" s="78">
        <v>242.5</v>
      </c>
      <c r="G29" s="79"/>
      <c r="H29" s="90">
        <f>+SUM(E29:G29)</f>
        <v>242.5</v>
      </c>
      <c r="I29" s="301" t="e">
        <f>H29/H30</f>
        <v>#DIV/0!</v>
      </c>
      <c r="J29" s="110">
        <v>0</v>
      </c>
    </row>
    <row r="30" spans="1:10" ht="16.5" hidden="1" outlineLevel="1" thickBot="1" x14ac:dyDescent="0.3">
      <c r="A30" s="217"/>
      <c r="B30" s="129"/>
      <c r="C30" s="225"/>
      <c r="D30" s="81" t="s">
        <v>1</v>
      </c>
      <c r="E30" s="140"/>
      <c r="F30" s="140"/>
      <c r="G30" s="140"/>
      <c r="H30" s="141">
        <f>SUM(E30:G30)</f>
        <v>0</v>
      </c>
      <c r="I30" s="302"/>
      <c r="J30" s="109">
        <f>H30/$H$230</f>
        <v>0</v>
      </c>
    </row>
    <row r="31" spans="1:10" ht="15.75" hidden="1" outlineLevel="1" x14ac:dyDescent="0.25">
      <c r="A31" s="216" t="s">
        <v>11</v>
      </c>
      <c r="B31" s="213" t="s">
        <v>12</v>
      </c>
      <c r="C31" s="224" t="s">
        <v>20</v>
      </c>
      <c r="D31" s="77" t="s">
        <v>14</v>
      </c>
      <c r="E31" s="78">
        <v>6727</v>
      </c>
      <c r="F31" s="78"/>
      <c r="G31" s="79">
        <v>1376</v>
      </c>
      <c r="H31" s="90">
        <f>+SUM(E31:G31)</f>
        <v>8103</v>
      </c>
      <c r="I31" s="301">
        <f>H31/H32</f>
        <v>0.11575714285714286</v>
      </c>
      <c r="J31" s="110">
        <v>0</v>
      </c>
    </row>
    <row r="32" spans="1:10" ht="16.5" hidden="1" outlineLevel="1" thickBot="1" x14ac:dyDescent="0.3">
      <c r="A32" s="217"/>
      <c r="B32" s="129"/>
      <c r="C32" s="225"/>
      <c r="D32" s="81" t="s">
        <v>1</v>
      </c>
      <c r="E32" s="140">
        <v>25000</v>
      </c>
      <c r="F32" s="140">
        <v>25000</v>
      </c>
      <c r="G32" s="140">
        <v>20000</v>
      </c>
      <c r="H32" s="141">
        <f>SUM(E32:G32)</f>
        <v>70000</v>
      </c>
      <c r="I32" s="302"/>
      <c r="J32" s="109">
        <f>H32/$H$230</f>
        <v>1.5695422699034216E-2</v>
      </c>
    </row>
    <row r="33" spans="1:12" ht="15.75" hidden="1" outlineLevel="1" x14ac:dyDescent="0.25">
      <c r="A33" s="216" t="s">
        <v>11</v>
      </c>
      <c r="B33" s="213" t="s">
        <v>12</v>
      </c>
      <c r="C33" s="224" t="s">
        <v>130</v>
      </c>
      <c r="D33" s="77" t="s">
        <v>14</v>
      </c>
      <c r="E33" s="78">
        <v>13608</v>
      </c>
      <c r="F33" s="78">
        <v>8708.08</v>
      </c>
      <c r="G33" s="79">
        <v>40710.54</v>
      </c>
      <c r="H33" s="90">
        <f>+SUM(E33:G33)</f>
        <v>63026.62</v>
      </c>
      <c r="I33" s="301">
        <f>H33/H34</f>
        <v>1.0400432343234325</v>
      </c>
      <c r="J33" s="110">
        <v>0</v>
      </c>
    </row>
    <row r="34" spans="1:12" ht="16.5" hidden="1" outlineLevel="1" thickBot="1" x14ac:dyDescent="0.3">
      <c r="A34" s="217"/>
      <c r="B34" s="129"/>
      <c r="C34" s="225"/>
      <c r="D34" s="81" t="s">
        <v>1</v>
      </c>
      <c r="E34" s="140">
        <v>17000</v>
      </c>
      <c r="F34" s="140">
        <v>17000</v>
      </c>
      <c r="G34" s="140">
        <v>26600</v>
      </c>
      <c r="H34" s="141">
        <f>SUM(E34:G34)</f>
        <v>60600</v>
      </c>
      <c r="I34" s="302"/>
      <c r="J34" s="109">
        <f>H34/$H$230</f>
        <v>1.3587751650878192E-2</v>
      </c>
    </row>
    <row r="35" spans="1:12" ht="15.75" hidden="1" outlineLevel="1" x14ac:dyDescent="0.25">
      <c r="A35" s="216" t="s">
        <v>11</v>
      </c>
      <c r="B35" s="213" t="s">
        <v>12</v>
      </c>
      <c r="C35" s="224" t="s">
        <v>21</v>
      </c>
      <c r="D35" s="77" t="s">
        <v>14</v>
      </c>
      <c r="E35" s="78">
        <v>8256.5400000000009</v>
      </c>
      <c r="F35" s="78">
        <v>9453.9</v>
      </c>
      <c r="G35" s="79">
        <v>7183</v>
      </c>
      <c r="H35" s="90">
        <f>+SUM(E35:G35)</f>
        <v>24893.440000000002</v>
      </c>
      <c r="I35" s="301">
        <f>H35/H36</f>
        <v>0.97621333333333338</v>
      </c>
      <c r="J35" s="110">
        <v>0</v>
      </c>
    </row>
    <row r="36" spans="1:12" ht="16.5" hidden="1" outlineLevel="1" thickBot="1" x14ac:dyDescent="0.3">
      <c r="A36" s="217"/>
      <c r="B36" s="129"/>
      <c r="C36" s="225"/>
      <c r="D36" s="81" t="s">
        <v>1</v>
      </c>
      <c r="E36" s="140">
        <v>8500</v>
      </c>
      <c r="F36" s="140">
        <v>8500</v>
      </c>
      <c r="G36" s="140">
        <v>8500</v>
      </c>
      <c r="H36" s="141">
        <f>SUM(E36:G36)</f>
        <v>25500</v>
      </c>
      <c r="I36" s="302"/>
      <c r="J36" s="109">
        <f>H36/$H$230</f>
        <v>5.7176182689338932E-3</v>
      </c>
    </row>
    <row r="37" spans="1:12" ht="15.75" hidden="1" outlineLevel="1" x14ac:dyDescent="0.25">
      <c r="A37" s="216" t="s">
        <v>11</v>
      </c>
      <c r="B37" s="213" t="s">
        <v>12</v>
      </c>
      <c r="C37" s="224" t="s">
        <v>74</v>
      </c>
      <c r="D37" s="77" t="s">
        <v>14</v>
      </c>
      <c r="E37" s="78">
        <v>206250</v>
      </c>
      <c r="F37" s="78">
        <v>165000</v>
      </c>
      <c r="G37" s="79"/>
      <c r="H37" s="90">
        <f>+SUM(E37:G37)</f>
        <v>371250</v>
      </c>
      <c r="I37" s="301">
        <f>H37/H38</f>
        <v>0.99</v>
      </c>
      <c r="J37" s="110">
        <v>0</v>
      </c>
    </row>
    <row r="38" spans="1:12" ht="16.5" hidden="1" outlineLevel="1" thickBot="1" x14ac:dyDescent="0.3">
      <c r="A38" s="217"/>
      <c r="B38" s="129"/>
      <c r="C38" s="225"/>
      <c r="D38" s="81" t="s">
        <v>1</v>
      </c>
      <c r="E38" s="140">
        <v>210000</v>
      </c>
      <c r="F38" s="140"/>
      <c r="G38" s="140">
        <v>165000</v>
      </c>
      <c r="H38" s="141">
        <f>SUM(E38:G38)</f>
        <v>375000</v>
      </c>
      <c r="I38" s="302"/>
      <c r="J38" s="109">
        <f>H38/$H$230</f>
        <v>8.4082621601969013E-2</v>
      </c>
    </row>
    <row r="39" spans="1:12" ht="15.75" hidden="1" outlineLevel="1" x14ac:dyDescent="0.25">
      <c r="A39" s="216" t="s">
        <v>11</v>
      </c>
      <c r="B39" s="213" t="s">
        <v>12</v>
      </c>
      <c r="C39" s="218" t="s">
        <v>22</v>
      </c>
      <c r="D39" s="77" t="s">
        <v>14</v>
      </c>
      <c r="E39" s="78">
        <v>5868</v>
      </c>
      <c r="F39" s="78">
        <v>26762</v>
      </c>
      <c r="G39" s="79">
        <v>12594</v>
      </c>
      <c r="H39" s="90">
        <f>+SUM(E39:G39)</f>
        <v>45224</v>
      </c>
      <c r="I39" s="301">
        <f>H39/H40</f>
        <v>1.7393846153846153</v>
      </c>
      <c r="J39" s="110">
        <v>0</v>
      </c>
    </row>
    <row r="40" spans="1:12" ht="16.5" hidden="1" outlineLevel="1" thickBot="1" x14ac:dyDescent="0.3">
      <c r="A40" s="217"/>
      <c r="B40" s="129"/>
      <c r="C40" s="219"/>
      <c r="D40" s="81" t="s">
        <v>1</v>
      </c>
      <c r="E40" s="143">
        <v>10000</v>
      </c>
      <c r="F40" s="143">
        <v>10000</v>
      </c>
      <c r="G40" s="143">
        <v>6000</v>
      </c>
      <c r="H40" s="141">
        <f>SUM(E40:G40)</f>
        <v>26000</v>
      </c>
      <c r="I40" s="302"/>
      <c r="J40" s="109">
        <f>H40/$H$230</f>
        <v>5.8297284310698519E-3</v>
      </c>
    </row>
    <row r="41" spans="1:12" ht="15.75" hidden="1" outlineLevel="1" x14ac:dyDescent="0.25">
      <c r="A41" s="216" t="s">
        <v>11</v>
      </c>
      <c r="B41" s="213" t="s">
        <v>12</v>
      </c>
      <c r="C41" s="224" t="s">
        <v>132</v>
      </c>
      <c r="D41" s="77" t="s">
        <v>14</v>
      </c>
      <c r="E41" s="78">
        <v>3345</v>
      </c>
      <c r="F41" s="78">
        <v>2248</v>
      </c>
      <c r="G41" s="79">
        <v>330</v>
      </c>
      <c r="H41" s="90">
        <f>+SUM(E41:G41)</f>
        <v>5923</v>
      </c>
      <c r="I41" s="301">
        <f>H41/H42</f>
        <v>0.45561538461538459</v>
      </c>
      <c r="J41" s="110">
        <v>0</v>
      </c>
    </row>
    <row r="42" spans="1:12" ht="16.5" hidden="1" outlineLevel="1" thickBot="1" x14ac:dyDescent="0.3">
      <c r="A42" s="217"/>
      <c r="B42" s="129"/>
      <c r="C42" s="225"/>
      <c r="D42" s="81" t="s">
        <v>1</v>
      </c>
      <c r="E42" s="140">
        <v>3000</v>
      </c>
      <c r="F42" s="140"/>
      <c r="G42" s="140">
        <v>10000</v>
      </c>
      <c r="H42" s="141">
        <f>SUM(E42:G42)</f>
        <v>13000</v>
      </c>
      <c r="I42" s="302"/>
      <c r="J42" s="109">
        <f>H42/$H$230</f>
        <v>2.9148642155349259E-3</v>
      </c>
    </row>
    <row r="43" spans="1:12" ht="15.75" hidden="1" outlineLevel="1" x14ac:dyDescent="0.25">
      <c r="A43" s="216" t="s">
        <v>11</v>
      </c>
      <c r="B43" s="213" t="s">
        <v>23</v>
      </c>
      <c r="C43" s="214" t="s">
        <v>24</v>
      </c>
      <c r="D43" s="77" t="s">
        <v>14</v>
      </c>
      <c r="E43" s="80">
        <v>55460.25</v>
      </c>
      <c r="F43" s="78">
        <v>53687.9</v>
      </c>
      <c r="G43" s="79">
        <v>40257.93</v>
      </c>
      <c r="H43" s="90">
        <f>+SUM(E43:G43)</f>
        <v>149406.07999999999</v>
      </c>
      <c r="I43" s="303">
        <f>H43/H45</f>
        <v>0.66402702222222221</v>
      </c>
      <c r="J43" s="110">
        <v>0</v>
      </c>
    </row>
    <row r="44" spans="1:12" ht="15.75" hidden="1" outlineLevel="1" x14ac:dyDescent="0.25">
      <c r="A44" s="217"/>
      <c r="B44" s="129"/>
      <c r="C44" s="215"/>
      <c r="D44" s="84" t="s">
        <v>25</v>
      </c>
      <c r="E44" s="85"/>
      <c r="F44" s="85"/>
      <c r="G44" s="85"/>
      <c r="H44" s="91">
        <f>SUM(E44:G44)</f>
        <v>0</v>
      </c>
      <c r="I44" s="304"/>
      <c r="J44" s="111">
        <v>0</v>
      </c>
      <c r="L44" s="130"/>
    </row>
    <row r="45" spans="1:12" ht="16.5" hidden="1" outlineLevel="1" thickBot="1" x14ac:dyDescent="0.3">
      <c r="A45" s="217"/>
      <c r="B45" s="129"/>
      <c r="C45" s="215"/>
      <c r="D45" s="81" t="s">
        <v>1</v>
      </c>
      <c r="E45" s="140">
        <v>85000</v>
      </c>
      <c r="F45" s="140">
        <v>60000</v>
      </c>
      <c r="G45" s="140">
        <v>80000</v>
      </c>
      <c r="H45" s="142">
        <f>SUM(E45:G45)</f>
        <v>225000</v>
      </c>
      <c r="I45" s="304"/>
      <c r="J45" s="109">
        <f>H45/$H$230</f>
        <v>5.044957296118141E-2</v>
      </c>
      <c r="L45" s="130"/>
    </row>
    <row r="46" spans="1:12" ht="17.25" collapsed="1" thickTop="1" thickBot="1" x14ac:dyDescent="0.25">
      <c r="A46" s="226" t="s">
        <v>11</v>
      </c>
      <c r="B46" s="228" t="s">
        <v>0</v>
      </c>
      <c r="C46" s="226" t="s">
        <v>0</v>
      </c>
      <c r="D46" s="58" t="s">
        <v>14</v>
      </c>
      <c r="E46" s="83">
        <f>SUM(E43,E41,E39,E37,E35,E33,E31,E29,E27,E25,E23,E21,E19,E17,E15,E13,E11,E9,E7,E5,E3,E44)</f>
        <v>535661.17000000004</v>
      </c>
      <c r="F46" s="83">
        <v>524289.72779999999</v>
      </c>
      <c r="G46" s="83">
        <f t="shared" ref="G46:H46" si="0">SUM(G43,G41,G39,G37,G35,G33,G31,G29,G27,G25,G23,G21,G19,G17,G15,G13,G11,G9,G7,G5,G3,G44)</f>
        <v>392169.35749999998</v>
      </c>
      <c r="H46" s="83">
        <f t="shared" si="0"/>
        <v>1452120.2553000001</v>
      </c>
      <c r="I46" s="318">
        <f>H46/H47</f>
        <v>0.95792615297842876</v>
      </c>
      <c r="J46" s="110">
        <v>0</v>
      </c>
      <c r="K46" s="130"/>
    </row>
    <row r="47" spans="1:12" ht="17.25" thickTop="1" thickBot="1" x14ac:dyDescent="0.3">
      <c r="A47" s="227"/>
      <c r="B47" s="229"/>
      <c r="C47" s="227"/>
      <c r="D47" s="59" t="s">
        <v>1</v>
      </c>
      <c r="E47" s="12">
        <f>SUM(E45,E42,E40,E38,E36,E34,E32,E30,E28,E26,E24,E22,E20,E18,E16,E14,E12,E10,E8,E6,E4)</f>
        <v>533500</v>
      </c>
      <c r="F47" s="12">
        <v>298700</v>
      </c>
      <c r="G47" s="12">
        <f t="shared" ref="G47:H47" si="1">SUM(G45,G42,G40,G38,G36,G34,G32,G30,G28,G26,G24,G22,G20,G18,G16,G14,G12,G10,G8,G6,G4)</f>
        <v>683700</v>
      </c>
      <c r="H47" s="12">
        <f t="shared" si="1"/>
        <v>1515900</v>
      </c>
      <c r="I47" s="318"/>
      <c r="J47" s="109">
        <f>H47/$H$230</f>
        <v>0.33989558956379956</v>
      </c>
    </row>
    <row r="48" spans="1:12" ht="17.25" thickTop="1" thickBot="1" x14ac:dyDescent="0.3">
      <c r="A48" s="227"/>
      <c r="B48" s="229"/>
      <c r="C48" s="227"/>
      <c r="D48" s="60" t="s">
        <v>2</v>
      </c>
      <c r="E48" s="14">
        <f t="shared" ref="E48:G48" si="2">E46/E47</f>
        <v>1.0040509278350516</v>
      </c>
      <c r="F48" s="14">
        <v>1.7552384593237362</v>
      </c>
      <c r="G48" s="14">
        <f t="shared" si="2"/>
        <v>0.57359859221880938</v>
      </c>
      <c r="H48" s="43">
        <f>H46/H47</f>
        <v>0.95792615297842876</v>
      </c>
      <c r="I48" s="318"/>
      <c r="J48" s="127"/>
    </row>
    <row r="49" spans="1:10" ht="17.25" thickTop="1" thickBot="1" x14ac:dyDescent="0.3">
      <c r="A49" s="227"/>
      <c r="B49" s="229"/>
      <c r="C49" s="227"/>
      <c r="D49" s="61" t="s">
        <v>3</v>
      </c>
      <c r="E49" s="12">
        <f t="shared" ref="E49:G49" si="3">E46-E47</f>
        <v>2161.1700000000419</v>
      </c>
      <c r="F49" s="12">
        <v>225589.72779999999</v>
      </c>
      <c r="G49" s="12">
        <f t="shared" si="3"/>
        <v>-291530.64250000002</v>
      </c>
      <c r="H49" s="254">
        <f>H46-H47</f>
        <v>-63779.744699999923</v>
      </c>
      <c r="I49" s="318"/>
      <c r="J49" s="128"/>
    </row>
    <row r="50" spans="1:10" ht="17.25" thickTop="1" thickBot="1" x14ac:dyDescent="0.3">
      <c r="A50" s="227"/>
      <c r="B50" s="229"/>
      <c r="C50" s="227"/>
      <c r="D50" s="62" t="s">
        <v>4</v>
      </c>
      <c r="E50" s="16">
        <f t="shared" ref="E50:G50" si="4">E49/E46</f>
        <v>4.0345840263165643E-3</v>
      </c>
      <c r="F50" s="16">
        <v>0.43027684091124396</v>
      </c>
      <c r="G50" s="16">
        <f t="shared" si="4"/>
        <v>-0.74337945309763276</v>
      </c>
      <c r="H50" s="45">
        <f>H49/H46</f>
        <v>-4.3921806384295201E-2</v>
      </c>
      <c r="I50" s="17"/>
      <c r="J50" s="105"/>
    </row>
    <row r="51" spans="1:10" ht="16.5" thickTop="1" thickBot="1" x14ac:dyDescent="0.25">
      <c r="A51" s="6"/>
      <c r="B51" s="6"/>
      <c r="C51" s="75"/>
      <c r="D51" s="63" t="s">
        <v>26</v>
      </c>
      <c r="E51" s="86"/>
      <c r="F51" s="86"/>
      <c r="G51" s="86"/>
      <c r="H51" s="63"/>
      <c r="I51" s="86"/>
      <c r="J51" s="106"/>
    </row>
    <row r="52" spans="1:10" ht="15.75" hidden="1" outlineLevel="1" x14ac:dyDescent="0.25">
      <c r="A52" s="216" t="s">
        <v>27</v>
      </c>
      <c r="B52" s="213" t="s">
        <v>12</v>
      </c>
      <c r="C52" s="224" t="s">
        <v>109</v>
      </c>
      <c r="D52" s="77" t="s">
        <v>14</v>
      </c>
      <c r="E52" s="78">
        <v>5898.4</v>
      </c>
      <c r="F52" s="78">
        <v>9212.91</v>
      </c>
      <c r="G52" s="79">
        <v>5399.8081999999995</v>
      </c>
      <c r="H52" s="90">
        <f>+SUM(E52:G52)</f>
        <v>20511.118199999997</v>
      </c>
      <c r="I52" s="301">
        <f>H52/H53</f>
        <v>1.0518522153846153</v>
      </c>
      <c r="J52" s="110">
        <v>0</v>
      </c>
    </row>
    <row r="53" spans="1:10" ht="16.5" hidden="1" outlineLevel="1" thickBot="1" x14ac:dyDescent="0.3">
      <c r="A53" s="217"/>
      <c r="B53" s="129"/>
      <c r="C53" s="225"/>
      <c r="D53" s="81" t="s">
        <v>1</v>
      </c>
      <c r="E53" s="82">
        <v>6500</v>
      </c>
      <c r="F53" s="82">
        <v>6500</v>
      </c>
      <c r="G53" s="82">
        <v>6500</v>
      </c>
      <c r="H53" s="141">
        <f>SUM(E53:G53)</f>
        <v>19500</v>
      </c>
      <c r="I53" s="302"/>
      <c r="J53" s="109">
        <f>H53/$H$230</f>
        <v>4.3722963233023887E-3</v>
      </c>
    </row>
    <row r="54" spans="1:10" ht="15.75" hidden="1" outlineLevel="1" x14ac:dyDescent="0.25">
      <c r="A54" s="216" t="s">
        <v>27</v>
      </c>
      <c r="B54" s="129"/>
      <c r="C54" s="222" t="s">
        <v>32</v>
      </c>
      <c r="D54" s="77" t="s">
        <v>14</v>
      </c>
      <c r="E54" s="78">
        <v>10317</v>
      </c>
      <c r="F54" s="78">
        <v>8865</v>
      </c>
      <c r="G54" s="79">
        <v>3577.0450000000001</v>
      </c>
      <c r="H54" s="90">
        <f>+SUM(E54:G54)</f>
        <v>22759.044999999998</v>
      </c>
      <c r="I54" s="301">
        <f>H54/H55</f>
        <v>0.63219569444444434</v>
      </c>
      <c r="J54" s="110">
        <v>0</v>
      </c>
    </row>
    <row r="55" spans="1:10" ht="16.5" hidden="1" outlineLevel="1" thickBot="1" x14ac:dyDescent="0.3">
      <c r="A55" s="217"/>
      <c r="B55" s="129"/>
      <c r="C55" s="223"/>
      <c r="D55" s="137" t="s">
        <v>1</v>
      </c>
      <c r="E55" s="88">
        <v>12000</v>
      </c>
      <c r="F55" s="88">
        <v>12000</v>
      </c>
      <c r="G55" s="88">
        <v>12000</v>
      </c>
      <c r="H55" s="141">
        <f>SUM(E55:G55)</f>
        <v>36000</v>
      </c>
      <c r="I55" s="302"/>
      <c r="J55" s="109">
        <f>H55/$H$230</f>
        <v>8.0719316737890255E-3</v>
      </c>
    </row>
    <row r="56" spans="1:10" ht="15.75" hidden="1" outlineLevel="1" x14ac:dyDescent="0.25">
      <c r="A56" s="216" t="s">
        <v>27</v>
      </c>
      <c r="B56" s="129"/>
      <c r="C56" s="222" t="s">
        <v>76</v>
      </c>
      <c r="D56" s="77" t="s">
        <v>14</v>
      </c>
      <c r="E56" s="78"/>
      <c r="F56" s="78"/>
      <c r="G56" s="79"/>
      <c r="H56" s="90">
        <f>+SUM(E56:G56)</f>
        <v>0</v>
      </c>
      <c r="I56" s="301">
        <f>H56/H57</f>
        <v>0</v>
      </c>
      <c r="J56" s="110">
        <v>0</v>
      </c>
    </row>
    <row r="57" spans="1:10" ht="16.5" hidden="1" outlineLevel="1" thickBot="1" x14ac:dyDescent="0.3">
      <c r="A57" s="217"/>
      <c r="B57" s="129"/>
      <c r="C57" s="223"/>
      <c r="D57" s="137" t="s">
        <v>1</v>
      </c>
      <c r="E57" s="88">
        <v>10000</v>
      </c>
      <c r="F57" s="88">
        <v>10000</v>
      </c>
      <c r="G57" s="88">
        <v>10000</v>
      </c>
      <c r="H57" s="141">
        <f>SUM(E57:G57)</f>
        <v>30000</v>
      </c>
      <c r="I57" s="302"/>
      <c r="J57" s="109">
        <f>H57/$H$230</f>
        <v>6.726609728157521E-3</v>
      </c>
    </row>
    <row r="58" spans="1:10" ht="15.75" hidden="1" outlineLevel="1" x14ac:dyDescent="0.25">
      <c r="A58" s="216" t="s">
        <v>27</v>
      </c>
      <c r="B58" s="213" t="s">
        <v>12</v>
      </c>
      <c r="C58" s="222" t="s">
        <v>135</v>
      </c>
      <c r="D58" s="77" t="s">
        <v>14</v>
      </c>
      <c r="E58" s="78">
        <v>904</v>
      </c>
      <c r="F58" s="78">
        <v>1172.75</v>
      </c>
      <c r="G58" s="79"/>
      <c r="H58" s="90">
        <f>+SUM(E58:G58)</f>
        <v>2076.75</v>
      </c>
      <c r="I58" s="301">
        <f>H58/H59</f>
        <v>0.27689999999999998</v>
      </c>
      <c r="J58" s="110">
        <v>0</v>
      </c>
    </row>
    <row r="59" spans="1:10" ht="16.5" hidden="1" outlineLevel="1" thickBot="1" x14ac:dyDescent="0.3">
      <c r="A59" s="217"/>
      <c r="B59" s="129"/>
      <c r="C59" s="223"/>
      <c r="D59" s="81" t="s">
        <v>1</v>
      </c>
      <c r="E59" s="88">
        <v>2500</v>
      </c>
      <c r="F59" s="88">
        <v>2500</v>
      </c>
      <c r="G59" s="88">
        <v>2500</v>
      </c>
      <c r="H59" s="141">
        <f>SUM(E59:G59)</f>
        <v>7500</v>
      </c>
      <c r="I59" s="302"/>
      <c r="J59" s="109">
        <f>H59/$H$230</f>
        <v>1.6816524320393802E-3</v>
      </c>
    </row>
    <row r="60" spans="1:10" ht="15.75" hidden="1" outlineLevel="1" x14ac:dyDescent="0.25">
      <c r="A60" s="216" t="s">
        <v>27</v>
      </c>
      <c r="B60" s="213" t="s">
        <v>12</v>
      </c>
      <c r="C60" s="222" t="s">
        <v>75</v>
      </c>
      <c r="D60" s="77" t="s">
        <v>14</v>
      </c>
      <c r="E60" s="78">
        <v>2522</v>
      </c>
      <c r="F60" s="78">
        <v>3239.5</v>
      </c>
      <c r="G60" s="79">
        <v>5167</v>
      </c>
      <c r="H60" s="90">
        <f>+SUM(E60:G60)</f>
        <v>10928.5</v>
      </c>
      <c r="I60" s="301">
        <f>H60/H61</f>
        <v>1.0408095238095239</v>
      </c>
      <c r="J60" s="110">
        <v>0</v>
      </c>
    </row>
    <row r="61" spans="1:10" ht="16.5" hidden="1" outlineLevel="1" thickBot="1" x14ac:dyDescent="0.3">
      <c r="A61" s="217"/>
      <c r="B61" s="129"/>
      <c r="C61" s="223"/>
      <c r="D61" s="81" t="s">
        <v>1</v>
      </c>
      <c r="E61" s="88">
        <v>3500</v>
      </c>
      <c r="F61" s="88">
        <v>3500</v>
      </c>
      <c r="G61" s="88">
        <v>3500</v>
      </c>
      <c r="H61" s="141">
        <f>SUM(E61:G61)</f>
        <v>10500</v>
      </c>
      <c r="I61" s="302"/>
      <c r="J61" s="109">
        <f>H61/$H$230</f>
        <v>2.3543134048551323E-3</v>
      </c>
    </row>
    <row r="62" spans="1:10" ht="15.75" hidden="1" outlineLevel="1" x14ac:dyDescent="0.25">
      <c r="A62" s="216" t="s">
        <v>27</v>
      </c>
      <c r="B62" s="213" t="s">
        <v>12</v>
      </c>
      <c r="C62" s="222" t="s">
        <v>128</v>
      </c>
      <c r="D62" s="77" t="s">
        <v>14</v>
      </c>
      <c r="E62" s="78">
        <v>530</v>
      </c>
      <c r="F62" s="78">
        <v>4774.0200000000004</v>
      </c>
      <c r="G62" s="79">
        <v>1482</v>
      </c>
      <c r="H62" s="90">
        <f>+SUM(E62:G62)</f>
        <v>6786.02</v>
      </c>
      <c r="I62" s="301">
        <f>H62/H63</f>
        <v>1.5080044444444445</v>
      </c>
      <c r="J62" s="110">
        <v>0</v>
      </c>
    </row>
    <row r="63" spans="1:10" ht="16.5" hidden="1" outlineLevel="1" thickBot="1" x14ac:dyDescent="0.3">
      <c r="A63" s="217"/>
      <c r="B63" s="129"/>
      <c r="C63" s="223"/>
      <c r="D63" s="81" t="s">
        <v>1</v>
      </c>
      <c r="E63" s="88">
        <v>1500</v>
      </c>
      <c r="F63" s="88">
        <v>1500</v>
      </c>
      <c r="G63" s="88">
        <v>1500</v>
      </c>
      <c r="H63" s="141">
        <f>SUM(E63:G63)</f>
        <v>4500</v>
      </c>
      <c r="I63" s="302"/>
      <c r="J63" s="109">
        <f>H63/$H$230</f>
        <v>1.0089914592236282E-3</v>
      </c>
    </row>
    <row r="64" spans="1:10" ht="15.75" hidden="1" outlineLevel="1" x14ac:dyDescent="0.25">
      <c r="A64" s="216" t="s">
        <v>27</v>
      </c>
      <c r="B64" s="213" t="s">
        <v>12</v>
      </c>
      <c r="C64" s="222" t="s">
        <v>28</v>
      </c>
      <c r="D64" s="77" t="s">
        <v>14</v>
      </c>
      <c r="E64" s="78">
        <v>295.5</v>
      </c>
      <c r="F64" s="78">
        <v>4558.46</v>
      </c>
      <c r="G64" s="79">
        <v>1045.5</v>
      </c>
      <c r="H64" s="90">
        <f>+SUM(E64:G64)</f>
        <v>5899.46</v>
      </c>
      <c r="I64" s="301">
        <f>H64/H65</f>
        <v>0.56185333333333332</v>
      </c>
      <c r="J64" s="110">
        <v>0</v>
      </c>
    </row>
    <row r="65" spans="1:12" ht="16.5" hidden="1" outlineLevel="1" thickBot="1" x14ac:dyDescent="0.3">
      <c r="A65" s="217"/>
      <c r="B65" s="129"/>
      <c r="C65" s="223"/>
      <c r="D65" s="81" t="s">
        <v>1</v>
      </c>
      <c r="E65" s="88">
        <v>3500</v>
      </c>
      <c r="F65" s="88">
        <v>3500</v>
      </c>
      <c r="G65" s="88">
        <v>3500</v>
      </c>
      <c r="H65" s="141">
        <f>SUM(E65:G65)</f>
        <v>10500</v>
      </c>
      <c r="I65" s="302"/>
      <c r="J65" s="109">
        <f>H65/$H$230</f>
        <v>2.3543134048551323E-3</v>
      </c>
    </row>
    <row r="66" spans="1:12" ht="15.75" hidden="1" outlineLevel="1" x14ac:dyDescent="0.25">
      <c r="A66" s="216" t="s">
        <v>27</v>
      </c>
      <c r="B66" s="213" t="s">
        <v>12</v>
      </c>
      <c r="C66" s="222" t="s">
        <v>29</v>
      </c>
      <c r="D66" s="77" t="s">
        <v>14</v>
      </c>
      <c r="E66" s="78">
        <v>3703.5</v>
      </c>
      <c r="F66" s="78">
        <v>1075</v>
      </c>
      <c r="G66" s="79">
        <v>2628.5</v>
      </c>
      <c r="H66" s="90">
        <f>+SUM(E66:G66)</f>
        <v>7407</v>
      </c>
      <c r="I66" s="301">
        <f>H66/H67</f>
        <v>0.5108275862068965</v>
      </c>
      <c r="J66" s="110">
        <v>0</v>
      </c>
    </row>
    <row r="67" spans="1:12" ht="16.5" hidden="1" outlineLevel="1" thickBot="1" x14ac:dyDescent="0.3">
      <c r="A67" s="217"/>
      <c r="B67" s="129"/>
      <c r="C67" s="223"/>
      <c r="D67" s="81" t="s">
        <v>1</v>
      </c>
      <c r="E67" s="88">
        <v>4500</v>
      </c>
      <c r="F67" s="88">
        <v>4500</v>
      </c>
      <c r="G67" s="88">
        <v>5500</v>
      </c>
      <c r="H67" s="141">
        <f>SUM(E67:G67)</f>
        <v>14500</v>
      </c>
      <c r="I67" s="302"/>
      <c r="J67" s="109">
        <f>H67/$H$230</f>
        <v>3.2511947019428018E-3</v>
      </c>
    </row>
    <row r="68" spans="1:12" ht="15.75" hidden="1" outlineLevel="1" x14ac:dyDescent="0.25">
      <c r="A68" s="216" t="s">
        <v>27</v>
      </c>
      <c r="B68" s="213" t="s">
        <v>12</v>
      </c>
      <c r="C68" s="218" t="s">
        <v>93</v>
      </c>
      <c r="D68" s="77" t="s">
        <v>14</v>
      </c>
      <c r="E68" s="78">
        <v>24388.35</v>
      </c>
      <c r="F68" s="78">
        <v>25832.079999999998</v>
      </c>
      <c r="G68" s="79">
        <v>32879.977200000001</v>
      </c>
      <c r="H68" s="90">
        <f>+SUM(E68:G68)</f>
        <v>83100.407199999987</v>
      </c>
      <c r="I68" s="301">
        <f>H68/H69</f>
        <v>0.92333785777777766</v>
      </c>
      <c r="J68" s="110">
        <v>0</v>
      </c>
    </row>
    <row r="69" spans="1:12" ht="16.5" hidden="1" outlineLevel="1" thickBot="1" x14ac:dyDescent="0.3">
      <c r="A69" s="217"/>
      <c r="B69" s="129"/>
      <c r="C69" s="219"/>
      <c r="D69" s="81" t="s">
        <v>1</v>
      </c>
      <c r="E69" s="88">
        <v>30000</v>
      </c>
      <c r="F69" s="88">
        <v>30000</v>
      </c>
      <c r="G69" s="88">
        <v>30000</v>
      </c>
      <c r="H69" s="141">
        <f>SUM(E69:G69)</f>
        <v>90000</v>
      </c>
      <c r="I69" s="302"/>
      <c r="J69" s="109">
        <f>H69/$H$230</f>
        <v>2.0179829184472562E-2</v>
      </c>
    </row>
    <row r="70" spans="1:12" ht="15.75" hidden="1" outlineLevel="1" x14ac:dyDescent="0.25">
      <c r="A70" s="216" t="s">
        <v>27</v>
      </c>
      <c r="B70" s="213" t="s">
        <v>12</v>
      </c>
      <c r="C70" s="218" t="s">
        <v>30</v>
      </c>
      <c r="D70" s="77" t="s">
        <v>14</v>
      </c>
      <c r="E70" s="78">
        <v>21379.41</v>
      </c>
      <c r="F70" s="78">
        <v>17045.099999999999</v>
      </c>
      <c r="G70" s="79">
        <v>15778.2853</v>
      </c>
      <c r="H70" s="90">
        <f>+SUM(E70:G70)</f>
        <v>54202.795299999998</v>
      </c>
      <c r="I70" s="301">
        <f>H70/H71</f>
        <v>0.72270393733333327</v>
      </c>
      <c r="J70" s="110">
        <v>0</v>
      </c>
    </row>
    <row r="71" spans="1:12" ht="16.5" hidden="1" outlineLevel="1" thickBot="1" x14ac:dyDescent="0.3">
      <c r="A71" s="217"/>
      <c r="B71" s="129"/>
      <c r="C71" s="219"/>
      <c r="D71" s="81" t="s">
        <v>1</v>
      </c>
      <c r="E71" s="102">
        <v>25000</v>
      </c>
      <c r="F71" s="102">
        <v>25000</v>
      </c>
      <c r="G71" s="102">
        <v>25000</v>
      </c>
      <c r="H71" s="141">
        <f>SUM(E71:G71)</f>
        <v>75000</v>
      </c>
      <c r="I71" s="302"/>
      <c r="J71" s="109">
        <f>H71/$H$230</f>
        <v>1.6816524320393801E-2</v>
      </c>
    </row>
    <row r="72" spans="1:12" ht="15.75" hidden="1" outlineLevel="1" x14ac:dyDescent="0.25">
      <c r="A72" s="216" t="s">
        <v>27</v>
      </c>
      <c r="B72" s="213" t="s">
        <v>12</v>
      </c>
      <c r="C72" s="218" t="s">
        <v>110</v>
      </c>
      <c r="D72" s="77" t="s">
        <v>14</v>
      </c>
      <c r="E72" s="78">
        <v>8619.5</v>
      </c>
      <c r="F72" s="78">
        <v>447.3</v>
      </c>
      <c r="G72" s="79">
        <v>6621.5</v>
      </c>
      <c r="H72" s="90">
        <f>+SUM(E72:G72)</f>
        <v>15688.3</v>
      </c>
      <c r="I72" s="301">
        <f>H72/H73</f>
        <v>2.6147166666666664</v>
      </c>
      <c r="J72" s="110">
        <v>0</v>
      </c>
    </row>
    <row r="73" spans="1:12" ht="16.5" hidden="1" outlineLevel="1" thickBot="1" x14ac:dyDescent="0.3">
      <c r="A73" s="217"/>
      <c r="B73" s="129"/>
      <c r="C73" s="219"/>
      <c r="D73" s="81" t="s">
        <v>1</v>
      </c>
      <c r="E73" s="88">
        <v>2000</v>
      </c>
      <c r="F73" s="88">
        <v>2000</v>
      </c>
      <c r="G73" s="88">
        <v>2000</v>
      </c>
      <c r="H73" s="141">
        <f>SUM(E73:G73)</f>
        <v>6000</v>
      </c>
      <c r="I73" s="302"/>
      <c r="J73" s="109">
        <f>H73/$H$230</f>
        <v>1.3453219456315041E-3</v>
      </c>
    </row>
    <row r="74" spans="1:12" ht="15.75" hidden="1" outlineLevel="1" x14ac:dyDescent="0.25">
      <c r="A74" s="216" t="s">
        <v>27</v>
      </c>
      <c r="B74" s="213" t="s">
        <v>12</v>
      </c>
      <c r="C74" s="218" t="s">
        <v>92</v>
      </c>
      <c r="D74" s="77" t="s">
        <v>14</v>
      </c>
      <c r="E74" s="78">
        <v>1058</v>
      </c>
      <c r="F74" s="78">
        <v>270</v>
      </c>
      <c r="G74" s="79">
        <v>1373</v>
      </c>
      <c r="H74" s="90">
        <f>+SUM(E74:G74)</f>
        <v>2701</v>
      </c>
      <c r="I74" s="301">
        <f>H74/H75</f>
        <v>0.54020000000000001</v>
      </c>
      <c r="J74" s="110">
        <v>0</v>
      </c>
    </row>
    <row r="75" spans="1:12" ht="16.5" hidden="1" outlineLevel="1" thickBot="1" x14ac:dyDescent="0.3">
      <c r="A75" s="217"/>
      <c r="B75" s="129"/>
      <c r="C75" s="219"/>
      <c r="D75" s="81" t="s">
        <v>1</v>
      </c>
      <c r="E75" s="88">
        <v>0</v>
      </c>
      <c r="F75" s="88">
        <v>5000</v>
      </c>
      <c r="G75" s="88">
        <v>0</v>
      </c>
      <c r="H75" s="141">
        <f>SUM(E75:G75)</f>
        <v>5000</v>
      </c>
      <c r="I75" s="302"/>
      <c r="J75" s="109">
        <f>H75/$H$230</f>
        <v>1.1211016213595868E-3</v>
      </c>
    </row>
    <row r="76" spans="1:12" ht="15.75" hidden="1" outlineLevel="1" x14ac:dyDescent="0.25">
      <c r="A76" s="216" t="s">
        <v>27</v>
      </c>
      <c r="B76" s="213" t="s">
        <v>23</v>
      </c>
      <c r="C76" s="222" t="s">
        <v>98</v>
      </c>
      <c r="D76" s="77" t="s">
        <v>14</v>
      </c>
      <c r="E76" s="78">
        <v>23315.01</v>
      </c>
      <c r="F76" s="78">
        <v>55529.94</v>
      </c>
      <c r="G76" s="79">
        <v>31151.64</v>
      </c>
      <c r="H76" s="90">
        <f>+SUM(E76:G76)</f>
        <v>109996.59</v>
      </c>
      <c r="I76" s="313">
        <f>H76/H78</f>
        <v>0.91663824999999999</v>
      </c>
      <c r="J76" s="110">
        <v>0</v>
      </c>
    </row>
    <row r="77" spans="1:12" ht="15.75" hidden="1" outlineLevel="1" x14ac:dyDescent="0.25">
      <c r="A77" s="217"/>
      <c r="B77" s="129"/>
      <c r="C77" s="223"/>
      <c r="D77" s="84" t="s">
        <v>25</v>
      </c>
      <c r="E77" s="144"/>
      <c r="F77" s="145"/>
      <c r="G77" s="144"/>
      <c r="H77" s="91">
        <f>SUM(E77:G77)</f>
        <v>0</v>
      </c>
      <c r="I77" s="314"/>
      <c r="J77" s="109"/>
    </row>
    <row r="78" spans="1:12" ht="16.5" hidden="1" outlineLevel="1" thickBot="1" x14ac:dyDescent="0.3">
      <c r="A78" s="217"/>
      <c r="B78" s="129"/>
      <c r="C78" s="223"/>
      <c r="D78" s="81" t="s">
        <v>1</v>
      </c>
      <c r="E78" s="118">
        <v>40000</v>
      </c>
      <c r="F78" s="118">
        <v>40000</v>
      </c>
      <c r="G78" s="118">
        <v>40000</v>
      </c>
      <c r="H78" s="119">
        <f>SUM(E78:G78)</f>
        <v>120000</v>
      </c>
      <c r="I78" s="314"/>
      <c r="J78" s="109">
        <f>H78/$H$230</f>
        <v>2.6906438912630084E-2</v>
      </c>
      <c r="L78" s="130"/>
    </row>
    <row r="79" spans="1:12" ht="17.25" collapsed="1" thickTop="1" thickBot="1" x14ac:dyDescent="0.25">
      <c r="A79" s="226" t="s">
        <v>27</v>
      </c>
      <c r="B79" s="228" t="s">
        <v>0</v>
      </c>
      <c r="C79" s="226" t="s">
        <v>0</v>
      </c>
      <c r="D79" s="56" t="s">
        <v>14</v>
      </c>
      <c r="E79" s="89">
        <f t="shared" ref="E79:H79" si="5">SUM(E52,E54,E58,E60,E62,E64,E66,E68,E70,E74,E76+E77+E56+E72)</f>
        <v>102930.67</v>
      </c>
      <c r="F79" s="89">
        <v>132022.06</v>
      </c>
      <c r="G79" s="89">
        <f t="shared" si="5"/>
        <v>107104.25569999999</v>
      </c>
      <c r="H79" s="89">
        <f t="shared" si="5"/>
        <v>342056.98570000002</v>
      </c>
      <c r="I79" s="315">
        <f>H79/H80</f>
        <v>0.79733563100233107</v>
      </c>
      <c r="J79" s="110">
        <v>0</v>
      </c>
      <c r="K79" s="130"/>
    </row>
    <row r="80" spans="1:12" ht="17.25" thickTop="1" thickBot="1" x14ac:dyDescent="0.3">
      <c r="A80" s="227"/>
      <c r="B80" s="229"/>
      <c r="C80" s="227"/>
      <c r="D80" s="64" t="s">
        <v>1</v>
      </c>
      <c r="E80" s="7">
        <f t="shared" ref="E80:H80" si="6">SUM(E53,E55,E57,E59,E61,E63,E65,E67,E69,E71,E73,E75,E78)</f>
        <v>141000</v>
      </c>
      <c r="F80" s="7">
        <v>146000</v>
      </c>
      <c r="G80" s="7">
        <f t="shared" si="6"/>
        <v>142000</v>
      </c>
      <c r="H80" s="7">
        <f t="shared" si="6"/>
        <v>429000</v>
      </c>
      <c r="I80" s="315"/>
      <c r="J80" s="109">
        <f>H80/$H$230</f>
        <v>9.6190519112652556E-2</v>
      </c>
    </row>
    <row r="81" spans="1:13" ht="17.25" thickTop="1" thickBot="1" x14ac:dyDescent="0.3">
      <c r="A81" s="227"/>
      <c r="B81" s="229"/>
      <c r="C81" s="227"/>
      <c r="D81" s="57" t="s">
        <v>2</v>
      </c>
      <c r="E81" s="8">
        <f>E79/E80</f>
        <v>0.73000475177304969</v>
      </c>
      <c r="F81" s="8">
        <v>0.9042606849315068</v>
      </c>
      <c r="G81" s="8">
        <f t="shared" ref="G81" si="7">G79/G80</f>
        <v>0.75425532183098587</v>
      </c>
      <c r="H81" s="46">
        <f>H79/H80</f>
        <v>0.79733563100233107</v>
      </c>
      <c r="I81" s="315"/>
      <c r="J81" s="103"/>
    </row>
    <row r="82" spans="1:13" ht="17.25" thickTop="1" thickBot="1" x14ac:dyDescent="0.3">
      <c r="A82" s="227"/>
      <c r="B82" s="229"/>
      <c r="C82" s="227"/>
      <c r="D82" s="65" t="s">
        <v>3</v>
      </c>
      <c r="E82" s="10">
        <f t="shared" ref="E82:G82" si="8">E79-E80</f>
        <v>-38069.33</v>
      </c>
      <c r="F82" s="10">
        <v>-13977.940000000002</v>
      </c>
      <c r="G82" s="10">
        <f t="shared" si="8"/>
        <v>-34895.744300000006</v>
      </c>
      <c r="H82" s="47">
        <f>H79-H80</f>
        <v>-86943.014299999981</v>
      </c>
      <c r="I82" s="315"/>
      <c r="J82" s="104"/>
    </row>
    <row r="83" spans="1:13" ht="16.5" thickBot="1" x14ac:dyDescent="0.3">
      <c r="A83" s="227"/>
      <c r="B83" s="229"/>
      <c r="C83" s="227"/>
      <c r="D83" s="66" t="s">
        <v>4</v>
      </c>
      <c r="E83" s="9">
        <f t="shared" ref="E83:G83" si="9">E82/E79</f>
        <v>-0.36985409693728799</v>
      </c>
      <c r="F83" s="9">
        <v>-0.10587579075799911</v>
      </c>
      <c r="G83" s="9">
        <f t="shared" si="9"/>
        <v>-0.32581099669599783</v>
      </c>
      <c r="H83" s="48">
        <f>H82/H79</f>
        <v>-0.25417698785503851</v>
      </c>
      <c r="I83" s="18"/>
      <c r="J83" s="105"/>
    </row>
    <row r="84" spans="1:13" ht="15.75" thickBot="1" x14ac:dyDescent="0.25">
      <c r="A84" s="6"/>
      <c r="B84" s="6"/>
      <c r="C84" s="75"/>
      <c r="D84" s="67" t="s">
        <v>26</v>
      </c>
      <c r="E84" s="36"/>
      <c r="F84" s="36"/>
      <c r="G84" s="36"/>
      <c r="H84" s="67"/>
      <c r="I84" s="36"/>
      <c r="J84" s="106"/>
    </row>
    <row r="85" spans="1:13" ht="15.75" hidden="1" outlineLevel="1" x14ac:dyDescent="0.25">
      <c r="A85" s="216" t="s">
        <v>70</v>
      </c>
      <c r="B85" s="213" t="s">
        <v>12</v>
      </c>
      <c r="C85" s="222" t="s">
        <v>54</v>
      </c>
      <c r="D85" s="77" t="s">
        <v>14</v>
      </c>
      <c r="E85" s="78">
        <v>41692.9</v>
      </c>
      <c r="F85" s="78">
        <v>29818.240000000002</v>
      </c>
      <c r="G85" s="79">
        <v>30581</v>
      </c>
      <c r="H85" s="90">
        <f>+SUM(E85:G85)</f>
        <v>102092.14</v>
      </c>
      <c r="I85" s="301">
        <f>H85/H86</f>
        <v>1.134357111111111</v>
      </c>
      <c r="J85" s="110">
        <v>0</v>
      </c>
      <c r="K85" s="130"/>
      <c r="M85" s="136"/>
    </row>
    <row r="86" spans="1:13" ht="16.5" hidden="1" outlineLevel="1" thickBot="1" x14ac:dyDescent="0.3">
      <c r="A86" s="217"/>
      <c r="B86" s="129"/>
      <c r="C86" s="221"/>
      <c r="D86" s="81" t="s">
        <v>1</v>
      </c>
      <c r="E86" s="88">
        <v>30000</v>
      </c>
      <c r="F86" s="88">
        <v>30000</v>
      </c>
      <c r="G86" s="88">
        <v>30000</v>
      </c>
      <c r="H86" s="141">
        <f>SUM(E86:G86)</f>
        <v>90000</v>
      </c>
      <c r="I86" s="302"/>
      <c r="J86" s="109">
        <f>H86/$H$230</f>
        <v>2.0179829184472562E-2</v>
      </c>
      <c r="K86" s="130"/>
    </row>
    <row r="87" spans="1:13" ht="15.75" hidden="1" outlineLevel="1" x14ac:dyDescent="0.25">
      <c r="A87" s="216" t="s">
        <v>70</v>
      </c>
      <c r="B87" s="213" t="s">
        <v>12</v>
      </c>
      <c r="C87" s="222" t="s">
        <v>120</v>
      </c>
      <c r="D87" s="77" t="s">
        <v>14</v>
      </c>
      <c r="E87" s="78">
        <v>6716.5</v>
      </c>
      <c r="F87" s="78">
        <v>6746.5</v>
      </c>
      <c r="G87" s="79">
        <v>11468.5</v>
      </c>
      <c r="H87" s="90">
        <f>+SUM(E87:G87)</f>
        <v>24931.5</v>
      </c>
      <c r="I87" s="301">
        <f>H87/H88</f>
        <v>0.58662352941176465</v>
      </c>
      <c r="J87" s="110">
        <v>0</v>
      </c>
      <c r="K87" s="130"/>
    </row>
    <row r="88" spans="1:13" ht="16.5" hidden="1" outlineLevel="1" thickBot="1" x14ac:dyDescent="0.3">
      <c r="A88" s="217"/>
      <c r="B88" s="129"/>
      <c r="C88" s="221"/>
      <c r="D88" s="81" t="s">
        <v>1</v>
      </c>
      <c r="E88" s="88">
        <v>15000</v>
      </c>
      <c r="F88" s="88">
        <v>18000</v>
      </c>
      <c r="G88" s="88">
        <v>9500</v>
      </c>
      <c r="H88" s="141">
        <f>SUM(E88:G88)</f>
        <v>42500</v>
      </c>
      <c r="I88" s="302"/>
      <c r="J88" s="109">
        <f>H88/$H$230</f>
        <v>9.5293637815564887E-3</v>
      </c>
      <c r="K88" s="130"/>
    </row>
    <row r="89" spans="1:13" ht="15.75" hidden="1" outlineLevel="1" collapsed="1" x14ac:dyDescent="0.25">
      <c r="A89" s="216" t="s">
        <v>70</v>
      </c>
      <c r="B89" s="213" t="s">
        <v>12</v>
      </c>
      <c r="C89" s="222" t="s">
        <v>51</v>
      </c>
      <c r="D89" s="77" t="s">
        <v>14</v>
      </c>
      <c r="E89" s="78">
        <v>3357.5</v>
      </c>
      <c r="F89" s="78">
        <v>5467.25</v>
      </c>
      <c r="G89" s="79">
        <v>3234</v>
      </c>
      <c r="H89" s="90">
        <f>+SUM(E89:G89)</f>
        <v>12058.75</v>
      </c>
      <c r="I89" s="301">
        <f>H89/H90</f>
        <v>0.34453571428571428</v>
      </c>
      <c r="J89" s="110">
        <v>0</v>
      </c>
    </row>
    <row r="90" spans="1:13" ht="16.5" hidden="1" outlineLevel="1" thickBot="1" x14ac:dyDescent="0.3">
      <c r="A90" s="217"/>
      <c r="B90" s="129"/>
      <c r="C90" s="221"/>
      <c r="D90" s="81" t="s">
        <v>1</v>
      </c>
      <c r="E90" s="88">
        <v>10000</v>
      </c>
      <c r="F90" s="88">
        <v>15000</v>
      </c>
      <c r="G90" s="88">
        <v>10000</v>
      </c>
      <c r="H90" s="141">
        <f>SUM(E90:G90)</f>
        <v>35000</v>
      </c>
      <c r="I90" s="302"/>
      <c r="J90" s="109">
        <f>H90/$H$230</f>
        <v>7.8477113495171082E-3</v>
      </c>
    </row>
    <row r="91" spans="1:13" ht="15.75" hidden="1" outlineLevel="2" x14ac:dyDescent="0.25">
      <c r="A91" s="216" t="s">
        <v>70</v>
      </c>
      <c r="B91" s="213" t="s">
        <v>12</v>
      </c>
      <c r="C91" s="222" t="s">
        <v>55</v>
      </c>
      <c r="D91" s="77" t="s">
        <v>14</v>
      </c>
      <c r="E91" s="78">
        <v>156981.5</v>
      </c>
      <c r="F91" s="78">
        <v>52568.5</v>
      </c>
      <c r="G91" s="79">
        <v>30356</v>
      </c>
      <c r="H91" s="90">
        <f>+SUM(E91:G91)</f>
        <v>239906</v>
      </c>
      <c r="I91" s="301">
        <f>H91/H92</f>
        <v>1.6545241379310345</v>
      </c>
      <c r="J91" s="110">
        <v>0</v>
      </c>
      <c r="K91" s="130"/>
    </row>
    <row r="92" spans="1:13" ht="16.5" hidden="1" outlineLevel="2" thickBot="1" x14ac:dyDescent="0.3">
      <c r="A92" s="217"/>
      <c r="B92" s="129"/>
      <c r="C92" s="221"/>
      <c r="D92" s="81" t="s">
        <v>1</v>
      </c>
      <c r="E92" s="88">
        <v>45000</v>
      </c>
      <c r="F92" s="88">
        <v>50000</v>
      </c>
      <c r="G92" s="88">
        <v>50000</v>
      </c>
      <c r="H92" s="141">
        <f>SUM(E92:G92)</f>
        <v>145000</v>
      </c>
      <c r="I92" s="302"/>
      <c r="J92" s="109">
        <f>H92/$H$230</f>
        <v>3.2511947019428021E-2</v>
      </c>
      <c r="K92" s="130"/>
    </row>
    <row r="93" spans="1:13" ht="15.75" hidden="1" outlineLevel="2" x14ac:dyDescent="0.25">
      <c r="A93" s="216" t="s">
        <v>70</v>
      </c>
      <c r="B93" s="213" t="s">
        <v>12</v>
      </c>
      <c r="C93" s="222" t="s">
        <v>35</v>
      </c>
      <c r="D93" s="138" t="s">
        <v>14</v>
      </c>
      <c r="E93" s="79">
        <v>7076.05</v>
      </c>
      <c r="F93" s="78">
        <v>10173.299999999999</v>
      </c>
      <c r="G93" s="79">
        <v>15452.595499999999</v>
      </c>
      <c r="H93" s="90">
        <f>+SUM(E93:G93)</f>
        <v>32701.945499999998</v>
      </c>
      <c r="I93" s="301">
        <f>H93/H94</f>
        <v>0.81754863749999995</v>
      </c>
      <c r="J93" s="110">
        <v>0</v>
      </c>
      <c r="K93" s="130"/>
    </row>
    <row r="94" spans="1:13" ht="16.5" hidden="1" outlineLevel="2" thickBot="1" x14ac:dyDescent="0.3">
      <c r="A94" s="217"/>
      <c r="B94" s="129"/>
      <c r="C94" s="221"/>
      <c r="D94" s="137" t="s">
        <v>1</v>
      </c>
      <c r="E94" s="88">
        <v>15000</v>
      </c>
      <c r="F94" s="88">
        <v>10000</v>
      </c>
      <c r="G94" s="88">
        <v>15000</v>
      </c>
      <c r="H94" s="141">
        <f>SUM(E94:G94)</f>
        <v>40000</v>
      </c>
      <c r="I94" s="302"/>
      <c r="J94" s="109">
        <f>H94/$H$230</f>
        <v>8.9688129708766946E-3</v>
      </c>
      <c r="K94" s="130"/>
    </row>
    <row r="95" spans="1:13" ht="15.75" hidden="1" outlineLevel="2" x14ac:dyDescent="0.25">
      <c r="A95" s="216" t="s">
        <v>70</v>
      </c>
      <c r="B95" s="213" t="s">
        <v>12</v>
      </c>
      <c r="C95" s="222" t="s">
        <v>31</v>
      </c>
      <c r="D95" s="77" t="s">
        <v>14</v>
      </c>
      <c r="E95" s="78">
        <v>12043.1</v>
      </c>
      <c r="F95" s="78">
        <v>5213</v>
      </c>
      <c r="G95" s="79">
        <v>3717.3</v>
      </c>
      <c r="H95" s="90">
        <f>+SUM(E95:G95)</f>
        <v>20973.399999999998</v>
      </c>
      <c r="I95" s="301">
        <f>H95/H96</f>
        <v>0.58259444444444441</v>
      </c>
      <c r="J95" s="110">
        <v>0</v>
      </c>
      <c r="K95" s="130"/>
    </row>
    <row r="96" spans="1:13" ht="16.5" hidden="1" outlineLevel="2" thickBot="1" x14ac:dyDescent="0.3">
      <c r="A96" s="217"/>
      <c r="B96" s="129"/>
      <c r="C96" s="221"/>
      <c r="D96" s="81" t="s">
        <v>1</v>
      </c>
      <c r="E96" s="88">
        <v>15000</v>
      </c>
      <c r="F96" s="88">
        <v>10000</v>
      </c>
      <c r="G96" s="88">
        <v>11000</v>
      </c>
      <c r="H96" s="141">
        <f>SUM(E96:G96)</f>
        <v>36000</v>
      </c>
      <c r="I96" s="302"/>
      <c r="J96" s="109">
        <f>H96/$H$230</f>
        <v>8.0719316737890255E-3</v>
      </c>
      <c r="K96" s="130"/>
    </row>
    <row r="97" spans="1:13" ht="15.75" hidden="1" outlineLevel="2" x14ac:dyDescent="0.25">
      <c r="A97" s="216" t="s">
        <v>70</v>
      </c>
      <c r="B97" s="213" t="s">
        <v>12</v>
      </c>
      <c r="C97" s="222" t="s">
        <v>121</v>
      </c>
      <c r="D97" s="77" t="s">
        <v>14</v>
      </c>
      <c r="E97" s="78">
        <v>709.2</v>
      </c>
      <c r="F97" s="78">
        <v>300</v>
      </c>
      <c r="G97" s="79">
        <v>446.5</v>
      </c>
      <c r="H97" s="90">
        <f>+SUM(E97:G97)</f>
        <v>1455.7</v>
      </c>
      <c r="I97" s="301">
        <f>H97/H98</f>
        <v>0.11646531722537803</v>
      </c>
      <c r="J97" s="110">
        <v>0</v>
      </c>
      <c r="K97" s="130"/>
    </row>
    <row r="98" spans="1:13" ht="16.5" hidden="1" outlineLevel="2" thickBot="1" x14ac:dyDescent="0.3">
      <c r="A98" s="217"/>
      <c r="B98" s="129"/>
      <c r="C98" s="221"/>
      <c r="D98" s="81" t="s">
        <v>1</v>
      </c>
      <c r="E98" s="88">
        <v>4165</v>
      </c>
      <c r="F98" s="88">
        <v>4167</v>
      </c>
      <c r="G98" s="88">
        <v>4167</v>
      </c>
      <c r="H98" s="141">
        <f>SUM(E98:G98)</f>
        <v>12499</v>
      </c>
      <c r="I98" s="302"/>
      <c r="J98" s="109">
        <f>H98/$H$230</f>
        <v>2.8025298330746954E-3</v>
      </c>
      <c r="K98" s="130"/>
    </row>
    <row r="99" spans="1:13" ht="15.75" hidden="1" outlineLevel="2" x14ac:dyDescent="0.25">
      <c r="A99" s="216" t="s">
        <v>70</v>
      </c>
      <c r="B99" s="213" t="s">
        <v>12</v>
      </c>
      <c r="C99" s="222" t="s">
        <v>122</v>
      </c>
      <c r="D99" s="77" t="s">
        <v>14</v>
      </c>
      <c r="E99" s="78">
        <v>3537.95</v>
      </c>
      <c r="F99" s="78">
        <v>2530.5500000000002</v>
      </c>
      <c r="G99" s="79">
        <v>3229</v>
      </c>
      <c r="H99" s="90">
        <f>+SUM(E99:G99)</f>
        <v>9297.5</v>
      </c>
      <c r="I99" s="301">
        <f>H99/H100</f>
        <v>0.88547619047619053</v>
      </c>
      <c r="J99" s="110">
        <v>0</v>
      </c>
      <c r="K99" s="130"/>
    </row>
    <row r="100" spans="1:13" ht="16.5" hidden="1" outlineLevel="2" thickBot="1" x14ac:dyDescent="0.3">
      <c r="A100" s="217"/>
      <c r="B100" s="129"/>
      <c r="C100" s="221"/>
      <c r="D100" s="81" t="s">
        <v>1</v>
      </c>
      <c r="E100" s="88">
        <v>3500</v>
      </c>
      <c r="F100" s="88">
        <v>3500</v>
      </c>
      <c r="G100" s="88">
        <v>3500</v>
      </c>
      <c r="H100" s="141">
        <f>SUM(E100:G100)</f>
        <v>10500</v>
      </c>
      <c r="I100" s="302"/>
      <c r="J100" s="109">
        <f>H100/$H$230</f>
        <v>2.3543134048551323E-3</v>
      </c>
      <c r="K100" s="130"/>
    </row>
    <row r="101" spans="1:13" ht="15.75" hidden="1" outlineLevel="2" x14ac:dyDescent="0.25">
      <c r="A101" s="216" t="s">
        <v>70</v>
      </c>
      <c r="B101" s="213" t="s">
        <v>12</v>
      </c>
      <c r="C101" s="222" t="s">
        <v>33</v>
      </c>
      <c r="D101" s="138" t="s">
        <v>14</v>
      </c>
      <c r="E101" s="79">
        <v>6408</v>
      </c>
      <c r="F101" s="78">
        <v>2517.9</v>
      </c>
      <c r="G101" s="79">
        <v>3744.1</v>
      </c>
      <c r="H101" s="90">
        <f>+SUM(E101:G101)</f>
        <v>12670</v>
      </c>
      <c r="I101" s="301">
        <f>H101/H102</f>
        <v>1.2669999999999999</v>
      </c>
      <c r="J101" s="110">
        <v>0</v>
      </c>
      <c r="K101" s="130"/>
    </row>
    <row r="102" spans="1:13" ht="16.5" hidden="1" outlineLevel="2" thickBot="1" x14ac:dyDescent="0.3">
      <c r="A102" s="217"/>
      <c r="B102" s="129"/>
      <c r="C102" s="221"/>
      <c r="D102" s="137" t="s">
        <v>1</v>
      </c>
      <c r="E102" s="88">
        <v>5000</v>
      </c>
      <c r="F102" s="88">
        <v>2500</v>
      </c>
      <c r="G102" s="88">
        <v>2500</v>
      </c>
      <c r="H102" s="141">
        <f>SUM(E102:G102)</f>
        <v>10000</v>
      </c>
      <c r="I102" s="302"/>
      <c r="J102" s="109">
        <f>H102/$H$230</f>
        <v>2.2422032427191737E-3</v>
      </c>
      <c r="K102" s="130"/>
    </row>
    <row r="103" spans="1:13" ht="15.75" hidden="1" outlineLevel="2" x14ac:dyDescent="0.25">
      <c r="A103" s="216" t="s">
        <v>70</v>
      </c>
      <c r="B103" s="213" t="s">
        <v>12</v>
      </c>
      <c r="C103" s="222" t="s">
        <v>123</v>
      </c>
      <c r="D103" s="138" t="s">
        <v>14</v>
      </c>
      <c r="E103" s="131">
        <v>806.09</v>
      </c>
      <c r="F103" s="78">
        <v>1631.4</v>
      </c>
      <c r="G103" s="79"/>
      <c r="H103" s="90">
        <f>+SUM(E103:G103)</f>
        <v>2437.4900000000002</v>
      </c>
      <c r="I103" s="301">
        <f>H103/H104</f>
        <v>0.27083222222222225</v>
      </c>
      <c r="J103" s="110">
        <v>0</v>
      </c>
      <c r="K103" s="130"/>
    </row>
    <row r="104" spans="1:13" ht="16.5" hidden="1" outlineLevel="2" thickBot="1" x14ac:dyDescent="0.3">
      <c r="A104" s="217"/>
      <c r="B104" s="129"/>
      <c r="C104" s="221"/>
      <c r="D104" s="137" t="s">
        <v>1</v>
      </c>
      <c r="E104" s="88">
        <v>3000</v>
      </c>
      <c r="F104" s="88">
        <v>3000</v>
      </c>
      <c r="G104" s="88">
        <v>3000</v>
      </c>
      <c r="H104" s="141">
        <f>SUM(E104:G104)</f>
        <v>9000</v>
      </c>
      <c r="I104" s="302"/>
      <c r="J104" s="109">
        <f>H104/$H$230</f>
        <v>2.0179829184472564E-3</v>
      </c>
      <c r="K104" s="130"/>
    </row>
    <row r="105" spans="1:13" ht="15.75" hidden="1" outlineLevel="2" x14ac:dyDescent="0.25">
      <c r="A105" s="216" t="s">
        <v>70</v>
      </c>
      <c r="B105" s="213" t="s">
        <v>12</v>
      </c>
      <c r="C105" s="222" t="s">
        <v>34</v>
      </c>
      <c r="D105" s="138" t="s">
        <v>14</v>
      </c>
      <c r="E105" s="78">
        <v>1209</v>
      </c>
      <c r="F105" s="78">
        <v>3497.5</v>
      </c>
      <c r="G105" s="79">
        <v>4581</v>
      </c>
      <c r="H105" s="90">
        <f>+SUM(E105:G105)</f>
        <v>9287.5</v>
      </c>
      <c r="I105" s="301">
        <f>H105/H106</f>
        <v>1.6886363636363637</v>
      </c>
      <c r="J105" s="110">
        <v>0</v>
      </c>
      <c r="K105" s="130"/>
    </row>
    <row r="106" spans="1:13" ht="16.5" hidden="1" outlineLevel="2" thickBot="1" x14ac:dyDescent="0.3">
      <c r="A106" s="217"/>
      <c r="B106" s="129"/>
      <c r="C106" s="221"/>
      <c r="D106" s="137" t="s">
        <v>1</v>
      </c>
      <c r="E106" s="88">
        <v>1500</v>
      </c>
      <c r="F106" s="88">
        <v>1500</v>
      </c>
      <c r="G106" s="88">
        <v>2500</v>
      </c>
      <c r="H106" s="141">
        <f>SUM(E106:G106)</f>
        <v>5500</v>
      </c>
      <c r="I106" s="302"/>
      <c r="J106" s="109">
        <f>H106/$H$230</f>
        <v>1.2332117834955455E-3</v>
      </c>
      <c r="K106" s="130"/>
    </row>
    <row r="107" spans="1:13" ht="15.75" hidden="1" outlineLevel="2" x14ac:dyDescent="0.25">
      <c r="A107" s="216" t="s">
        <v>70</v>
      </c>
      <c r="B107" s="213" t="s">
        <v>12</v>
      </c>
      <c r="C107" s="222" t="s">
        <v>124</v>
      </c>
      <c r="D107" s="138" t="s">
        <v>14</v>
      </c>
      <c r="E107" s="78">
        <v>2217</v>
      </c>
      <c r="F107" s="251">
        <v>704.5</v>
      </c>
      <c r="G107" s="79">
        <v>151</v>
      </c>
      <c r="H107" s="90">
        <f>+SUM(E107:G107)</f>
        <v>3072.5</v>
      </c>
      <c r="I107" s="301">
        <f>H107/H108</f>
        <v>1.0241666666666667</v>
      </c>
      <c r="J107" s="110">
        <v>0</v>
      </c>
      <c r="K107" s="130"/>
    </row>
    <row r="108" spans="1:13" ht="16.5" hidden="1" outlineLevel="2" thickBot="1" x14ac:dyDescent="0.3">
      <c r="A108" s="217"/>
      <c r="B108" s="129"/>
      <c r="C108" s="221"/>
      <c r="D108" s="137" t="s">
        <v>1</v>
      </c>
      <c r="E108" s="88">
        <v>1000</v>
      </c>
      <c r="F108" s="88">
        <v>1000</v>
      </c>
      <c r="G108" s="88">
        <v>1000</v>
      </c>
      <c r="H108" s="141">
        <f>SUM(E108:G108)</f>
        <v>3000</v>
      </c>
      <c r="I108" s="302"/>
      <c r="J108" s="109">
        <f>H108/$H$230</f>
        <v>6.7266097281575205E-4</v>
      </c>
      <c r="K108" s="130"/>
    </row>
    <row r="109" spans="1:13" ht="15.75" hidden="1" outlineLevel="2" x14ac:dyDescent="0.25">
      <c r="A109" s="216" t="s">
        <v>70</v>
      </c>
      <c r="B109" s="213" t="s">
        <v>12</v>
      </c>
      <c r="C109" s="214" t="s">
        <v>97</v>
      </c>
      <c r="D109" s="138" t="s">
        <v>14</v>
      </c>
      <c r="E109" s="78">
        <v>9798.08</v>
      </c>
      <c r="F109" s="78">
        <v>13696.5</v>
      </c>
      <c r="G109" s="79">
        <v>8998</v>
      </c>
      <c r="H109" s="90">
        <f>+SUM(E109:G109)</f>
        <v>32492.58</v>
      </c>
      <c r="I109" s="301">
        <f>H109/H110</f>
        <v>0.30945314285714287</v>
      </c>
      <c r="J109" s="110">
        <v>0</v>
      </c>
      <c r="K109" s="130"/>
      <c r="M109" s="136"/>
    </row>
    <row r="110" spans="1:13" ht="16.5" hidden="1" outlineLevel="2" thickBot="1" x14ac:dyDescent="0.3">
      <c r="A110" s="217"/>
      <c r="B110" s="129"/>
      <c r="C110" s="129"/>
      <c r="D110" s="137" t="s">
        <v>1</v>
      </c>
      <c r="E110" s="101">
        <v>35000</v>
      </c>
      <c r="F110" s="101">
        <v>35000</v>
      </c>
      <c r="G110" s="101">
        <v>35000</v>
      </c>
      <c r="H110" s="141">
        <f>SUM(E110:G110)</f>
        <v>105000</v>
      </c>
      <c r="I110" s="302"/>
      <c r="J110" s="109">
        <f>H110/$H$230</f>
        <v>2.3543134048551323E-2</v>
      </c>
      <c r="K110" s="130"/>
    </row>
    <row r="111" spans="1:13" ht="17.25" collapsed="1" thickTop="1" thickBot="1" x14ac:dyDescent="0.25">
      <c r="A111" s="226" t="s">
        <v>70</v>
      </c>
      <c r="B111" s="228" t="s">
        <v>0</v>
      </c>
      <c r="C111" s="226" t="s">
        <v>0</v>
      </c>
      <c r="D111" s="56" t="s">
        <v>14</v>
      </c>
      <c r="E111" s="89">
        <f t="shared" ref="E111:H111" si="10">SUM(E109,E107,E105,E103,E101,E99,E97,E95,E93,E91,E89,E87,E85)</f>
        <v>252552.87</v>
      </c>
      <c r="F111" s="89">
        <v>134865.13999999998</v>
      </c>
      <c r="G111" s="89">
        <f t="shared" si="10"/>
        <v>115958.99549999999</v>
      </c>
      <c r="H111" s="89">
        <f t="shared" si="10"/>
        <v>503377.00550000003</v>
      </c>
      <c r="I111" s="315">
        <f>H111/H112</f>
        <v>0.92532707872624775</v>
      </c>
      <c r="J111" s="110">
        <v>0</v>
      </c>
      <c r="K111" s="130"/>
    </row>
    <row r="112" spans="1:13" ht="17.25" thickTop="1" thickBot="1" x14ac:dyDescent="0.3">
      <c r="A112" s="227"/>
      <c r="B112" s="229"/>
      <c r="C112" s="227"/>
      <c r="D112" s="64" t="s">
        <v>1</v>
      </c>
      <c r="E112" s="7">
        <f t="shared" ref="E112:H112" si="11">SUM(E86,E88,E90,E92,E94,E96,E98,E100,E102,E104,E106,E108,E110)</f>
        <v>183165</v>
      </c>
      <c r="F112" s="7">
        <v>183667</v>
      </c>
      <c r="G112" s="7">
        <f t="shared" si="11"/>
        <v>177167</v>
      </c>
      <c r="H112" s="7">
        <f t="shared" si="11"/>
        <v>543999</v>
      </c>
      <c r="I112" s="315"/>
      <c r="J112" s="109">
        <f>H112/$H$230</f>
        <v>0.12197563218359878</v>
      </c>
    </row>
    <row r="113" spans="1:10" ht="17.25" thickTop="1" thickBot="1" x14ac:dyDescent="0.3">
      <c r="A113" s="227"/>
      <c r="B113" s="229"/>
      <c r="C113" s="227"/>
      <c r="D113" s="57" t="s">
        <v>2</v>
      </c>
      <c r="E113" s="8">
        <f t="shared" ref="E113:G113" si="12">E111/E112</f>
        <v>1.3788271230857423</v>
      </c>
      <c r="F113" s="8">
        <v>0.73429162560503514</v>
      </c>
      <c r="G113" s="8">
        <f t="shared" si="12"/>
        <v>0.65451802818809368</v>
      </c>
      <c r="H113" s="46">
        <f>H111/H112</f>
        <v>0.92532707872624775</v>
      </c>
      <c r="I113" s="315"/>
      <c r="J113" s="103"/>
    </row>
    <row r="114" spans="1:10" ht="17.25" thickTop="1" thickBot="1" x14ac:dyDescent="0.3">
      <c r="A114" s="227"/>
      <c r="B114" s="229"/>
      <c r="C114" s="227"/>
      <c r="D114" s="65" t="s">
        <v>3</v>
      </c>
      <c r="E114" s="10">
        <f t="shared" ref="E114:G114" si="13">E111-E112</f>
        <v>69387.87</v>
      </c>
      <c r="F114" s="10">
        <v>-48801.860000000015</v>
      </c>
      <c r="G114" s="10">
        <f t="shared" si="13"/>
        <v>-61208.00450000001</v>
      </c>
      <c r="H114" s="47">
        <f>H111-H112</f>
        <v>-40621.994499999972</v>
      </c>
      <c r="I114" s="315"/>
      <c r="J114" s="104"/>
    </row>
    <row r="115" spans="1:10" ht="16.5" thickBot="1" x14ac:dyDescent="0.3">
      <c r="A115" s="227"/>
      <c r="B115" s="229"/>
      <c r="C115" s="227"/>
      <c r="D115" s="66" t="s">
        <v>4</v>
      </c>
      <c r="E115" s="9">
        <f>E114/E111</f>
        <v>0.27474591755777711</v>
      </c>
      <c r="F115" s="9">
        <v>-0.36185674074115831</v>
      </c>
      <c r="G115" s="9">
        <f t="shared" ref="G115" si="14">G114/G111</f>
        <v>-0.5278417964564035</v>
      </c>
      <c r="H115" s="48">
        <f>H114/H111</f>
        <v>-8.0698947421427192E-2</v>
      </c>
      <c r="I115" s="18"/>
      <c r="J115" s="105"/>
    </row>
    <row r="116" spans="1:10" ht="15.75" thickBot="1" x14ac:dyDescent="0.25">
      <c r="A116" s="6"/>
      <c r="B116" s="6"/>
      <c r="C116" s="75"/>
      <c r="D116" s="67" t="s">
        <v>26</v>
      </c>
      <c r="E116" s="36"/>
      <c r="F116" s="36"/>
      <c r="G116" s="36"/>
      <c r="H116" s="67"/>
      <c r="I116" s="36"/>
      <c r="J116" s="106"/>
    </row>
    <row r="117" spans="1:10" ht="15.75" hidden="1" outlineLevel="1" x14ac:dyDescent="0.25">
      <c r="A117" s="216" t="s">
        <v>37</v>
      </c>
      <c r="B117" s="213" t="s">
        <v>12</v>
      </c>
      <c r="C117" s="218" t="s">
        <v>95</v>
      </c>
      <c r="D117" s="77" t="s">
        <v>14</v>
      </c>
      <c r="E117" s="78">
        <v>7496</v>
      </c>
      <c r="F117" s="78">
        <v>2499.5</v>
      </c>
      <c r="G117" s="79">
        <v>5203.6000000000004</v>
      </c>
      <c r="H117" s="90">
        <f>+SUM(E117:G117)</f>
        <v>15199.1</v>
      </c>
      <c r="I117" s="301">
        <f>H117/H118</f>
        <v>0.75995500000000005</v>
      </c>
      <c r="J117" s="110">
        <v>0</v>
      </c>
    </row>
    <row r="118" spans="1:10" ht="16.5" hidden="1" outlineLevel="1" thickBot="1" x14ac:dyDescent="0.3">
      <c r="A118" s="217"/>
      <c r="B118" s="129"/>
      <c r="C118" s="219"/>
      <c r="D118" s="81" t="s">
        <v>1</v>
      </c>
      <c r="E118" s="88">
        <v>7000</v>
      </c>
      <c r="F118" s="88">
        <v>6500</v>
      </c>
      <c r="G118" s="88">
        <v>6500</v>
      </c>
      <c r="H118" s="141">
        <f>SUM(E118:G118)</f>
        <v>20000</v>
      </c>
      <c r="I118" s="302"/>
      <c r="J118" s="109">
        <f>H118/$H$230</f>
        <v>4.4844064854383473E-3</v>
      </c>
    </row>
    <row r="119" spans="1:10" ht="15.75" hidden="1" outlineLevel="1" x14ac:dyDescent="0.25">
      <c r="A119" s="216" t="s">
        <v>37</v>
      </c>
      <c r="B119" s="213" t="s">
        <v>12</v>
      </c>
      <c r="C119" s="218" t="s">
        <v>38</v>
      </c>
      <c r="D119" s="77" t="s">
        <v>14</v>
      </c>
      <c r="E119" s="78"/>
      <c r="F119" s="78"/>
      <c r="G119" s="79">
        <v>774.5</v>
      </c>
      <c r="H119" s="90">
        <f>+SUM(E119:G119)</f>
        <v>774.5</v>
      </c>
      <c r="I119" s="301">
        <f>H119/H120</f>
        <v>7.7450000000000005E-2</v>
      </c>
      <c r="J119" s="110">
        <v>0</v>
      </c>
    </row>
    <row r="120" spans="1:10" ht="16.5" hidden="1" outlineLevel="1" thickBot="1" x14ac:dyDescent="0.3">
      <c r="A120" s="217"/>
      <c r="B120" s="129"/>
      <c r="C120" s="219"/>
      <c r="D120" s="81" t="s">
        <v>1</v>
      </c>
      <c r="E120" s="88">
        <v>2500</v>
      </c>
      <c r="F120" s="88">
        <v>5000</v>
      </c>
      <c r="G120" s="88">
        <v>2500</v>
      </c>
      <c r="H120" s="141">
        <f>SUM(E120:G120)</f>
        <v>10000</v>
      </c>
      <c r="I120" s="302"/>
      <c r="J120" s="109">
        <f>H120/$H$230</f>
        <v>2.2422032427191737E-3</v>
      </c>
    </row>
    <row r="121" spans="1:10" ht="15.75" hidden="1" outlineLevel="1" x14ac:dyDescent="0.25">
      <c r="A121" s="216" t="s">
        <v>37</v>
      </c>
      <c r="B121" s="213" t="s">
        <v>12</v>
      </c>
      <c r="C121" s="218" t="s">
        <v>131</v>
      </c>
      <c r="D121" s="77" t="s">
        <v>14</v>
      </c>
      <c r="E121" s="78"/>
      <c r="F121" s="78">
        <v>8103.5</v>
      </c>
      <c r="G121" s="79">
        <v>7506.65</v>
      </c>
      <c r="H121" s="90">
        <f>+SUM(E121:G121)</f>
        <v>15610.15</v>
      </c>
      <c r="I121" s="301">
        <f>H121/H122</f>
        <v>1.0071064516129031</v>
      </c>
      <c r="J121" s="110" t="e">
        <v>#REF!</v>
      </c>
    </row>
    <row r="122" spans="1:10" ht="16.5" hidden="1" outlineLevel="1" thickBot="1" x14ac:dyDescent="0.3">
      <c r="A122" s="217"/>
      <c r="B122" s="129"/>
      <c r="C122" s="219"/>
      <c r="D122" s="81" t="s">
        <v>1</v>
      </c>
      <c r="E122" s="88">
        <v>5000</v>
      </c>
      <c r="F122" s="88">
        <v>5500</v>
      </c>
      <c r="G122" s="88">
        <v>5000</v>
      </c>
      <c r="H122" s="141">
        <f>SUM(E122:G122)</f>
        <v>15500</v>
      </c>
      <c r="I122" s="302"/>
      <c r="J122" s="109">
        <f>H122/$H$230</f>
        <v>3.4754150262147191E-3</v>
      </c>
    </row>
    <row r="123" spans="1:10" ht="15.75" hidden="1" outlineLevel="1" x14ac:dyDescent="0.25">
      <c r="A123" s="216" t="s">
        <v>37</v>
      </c>
      <c r="B123" s="213" t="s">
        <v>12</v>
      </c>
      <c r="C123" s="218" t="s">
        <v>119</v>
      </c>
      <c r="D123" s="77" t="s">
        <v>14</v>
      </c>
      <c r="E123" s="78">
        <v>33581.800000000003</v>
      </c>
      <c r="F123" s="78">
        <v>8950.6</v>
      </c>
      <c r="G123" s="79">
        <v>12453.590899999999</v>
      </c>
      <c r="H123" s="90">
        <f>+SUM(E123:G123)</f>
        <v>54985.990900000004</v>
      </c>
      <c r="I123" s="301">
        <f>H123/H124</f>
        <v>0.73314654533333334</v>
      </c>
      <c r="J123" s="110">
        <v>0</v>
      </c>
    </row>
    <row r="124" spans="1:10" ht="16.5" hidden="1" outlineLevel="1" thickBot="1" x14ac:dyDescent="0.3">
      <c r="A124" s="217"/>
      <c r="B124" s="129"/>
      <c r="C124" s="219"/>
      <c r="D124" s="81" t="s">
        <v>1</v>
      </c>
      <c r="E124" s="88">
        <v>25000</v>
      </c>
      <c r="F124" s="88">
        <v>25000</v>
      </c>
      <c r="G124" s="88">
        <v>25000</v>
      </c>
      <c r="H124" s="141">
        <f>SUM(E124:G124)</f>
        <v>75000</v>
      </c>
      <c r="I124" s="302"/>
      <c r="J124" s="109">
        <f>H124/$H$230</f>
        <v>1.6816524320393801E-2</v>
      </c>
    </row>
    <row r="125" spans="1:10" ht="15.75" hidden="1" outlineLevel="1" x14ac:dyDescent="0.25">
      <c r="A125" s="216" t="s">
        <v>37</v>
      </c>
      <c r="B125" s="213" t="s">
        <v>12</v>
      </c>
      <c r="C125" s="218" t="s">
        <v>39</v>
      </c>
      <c r="D125" s="77" t="s">
        <v>14</v>
      </c>
      <c r="E125" s="78"/>
      <c r="F125" s="78"/>
      <c r="G125" s="79">
        <v>4163.5</v>
      </c>
      <c r="H125" s="90">
        <f>+SUM(E125:G125)</f>
        <v>4163.5</v>
      </c>
      <c r="I125" s="301">
        <f>H125/H126</f>
        <v>0.36204347826086958</v>
      </c>
      <c r="J125" s="110">
        <v>0</v>
      </c>
    </row>
    <row r="126" spans="1:10" ht="16.5" hidden="1" outlineLevel="1" thickBot="1" x14ac:dyDescent="0.3">
      <c r="A126" s="217"/>
      <c r="B126" s="129"/>
      <c r="C126" s="219"/>
      <c r="D126" s="81" t="s">
        <v>1</v>
      </c>
      <c r="E126" s="88">
        <v>2500</v>
      </c>
      <c r="F126" s="88">
        <v>4500</v>
      </c>
      <c r="G126" s="88">
        <v>4500</v>
      </c>
      <c r="H126" s="141">
        <f>SUM(E126:G126)</f>
        <v>11500</v>
      </c>
      <c r="I126" s="302"/>
      <c r="J126" s="109">
        <f>H126/$H$230</f>
        <v>2.5785337291270496E-3</v>
      </c>
    </row>
    <row r="127" spans="1:10" ht="15.75" hidden="1" outlineLevel="1" x14ac:dyDescent="0.25">
      <c r="A127" s="216" t="s">
        <v>37</v>
      </c>
      <c r="B127" s="213" t="s">
        <v>12</v>
      </c>
      <c r="C127" s="218" t="s">
        <v>40</v>
      </c>
      <c r="D127" s="77" t="s">
        <v>14</v>
      </c>
      <c r="E127" s="78">
        <v>10785</v>
      </c>
      <c r="F127" s="78">
        <v>68</v>
      </c>
      <c r="G127" s="79">
        <v>1272</v>
      </c>
      <c r="H127" s="90">
        <f>+SUM(E127:G127)</f>
        <v>12125</v>
      </c>
      <c r="I127" s="301">
        <f>H127/H128</f>
        <v>1.6166666666666667</v>
      </c>
      <c r="J127" s="110">
        <v>0</v>
      </c>
    </row>
    <row r="128" spans="1:10" ht="16.5" hidden="1" outlineLevel="1" thickBot="1" x14ac:dyDescent="0.3">
      <c r="A128" s="217"/>
      <c r="B128" s="129"/>
      <c r="C128" s="219"/>
      <c r="D128" s="81" t="s">
        <v>1</v>
      </c>
      <c r="E128" s="88">
        <v>2500</v>
      </c>
      <c r="F128" s="88"/>
      <c r="G128" s="88">
        <v>5000</v>
      </c>
      <c r="H128" s="141">
        <f>SUM(E128:G128)</f>
        <v>7500</v>
      </c>
      <c r="I128" s="302"/>
      <c r="J128" s="109">
        <f>H128/$H$230</f>
        <v>1.6816524320393802E-3</v>
      </c>
    </row>
    <row r="129" spans="1:10" ht="15.75" hidden="1" outlineLevel="1" x14ac:dyDescent="0.25">
      <c r="A129" s="216" t="s">
        <v>37</v>
      </c>
      <c r="B129" s="213" t="s">
        <v>12</v>
      </c>
      <c r="C129" s="218" t="s">
        <v>137</v>
      </c>
      <c r="D129" s="77" t="s">
        <v>14</v>
      </c>
      <c r="E129" s="78">
        <v>3452.32</v>
      </c>
      <c r="F129" s="78">
        <v>3375.9500000000003</v>
      </c>
      <c r="G129" s="79">
        <v>4399.4324999999999</v>
      </c>
      <c r="H129" s="90">
        <f>+SUM(E129:G129)</f>
        <v>11227.702499999999</v>
      </c>
      <c r="I129" s="301">
        <f>H129/H130</f>
        <v>0.93564187499999996</v>
      </c>
      <c r="J129" s="110">
        <v>0</v>
      </c>
    </row>
    <row r="130" spans="1:10" ht="16.5" hidden="1" outlineLevel="1" thickBot="1" x14ac:dyDescent="0.3">
      <c r="A130" s="217"/>
      <c r="B130" s="129"/>
      <c r="C130" s="219"/>
      <c r="D130" s="81" t="s">
        <v>1</v>
      </c>
      <c r="E130" s="88">
        <v>3500</v>
      </c>
      <c r="F130" s="88">
        <v>3500</v>
      </c>
      <c r="G130" s="88">
        <v>5000</v>
      </c>
      <c r="H130" s="141">
        <f>SUM(E130:G130)</f>
        <v>12000</v>
      </c>
      <c r="I130" s="302"/>
      <c r="J130" s="109">
        <f>H130/$H$230</f>
        <v>2.6906438912630082E-3</v>
      </c>
    </row>
    <row r="131" spans="1:10" ht="15.75" hidden="1" outlineLevel="1" x14ac:dyDescent="0.25">
      <c r="A131" s="216" t="s">
        <v>37</v>
      </c>
      <c r="B131" s="213" t="s">
        <v>12</v>
      </c>
      <c r="C131" s="218" t="s">
        <v>118</v>
      </c>
      <c r="D131" s="77" t="s">
        <v>14</v>
      </c>
      <c r="E131" s="78">
        <v>46025</v>
      </c>
      <c r="F131" s="78">
        <v>37960.519999999997</v>
      </c>
      <c r="G131" s="79">
        <v>27111.1</v>
      </c>
      <c r="H131" s="90">
        <f>+SUM(E131:G131)</f>
        <v>111096.62</v>
      </c>
      <c r="I131" s="301">
        <f>H131/H132</f>
        <v>0.96605756521739128</v>
      </c>
      <c r="J131" s="110">
        <v>0</v>
      </c>
    </row>
    <row r="132" spans="1:10" ht="16.5" hidden="1" outlineLevel="1" thickBot="1" x14ac:dyDescent="0.3">
      <c r="A132" s="217"/>
      <c r="B132" s="129"/>
      <c r="C132" s="219"/>
      <c r="D132" s="81" t="s">
        <v>1</v>
      </c>
      <c r="E132" s="88">
        <v>40000</v>
      </c>
      <c r="F132" s="88">
        <v>35000</v>
      </c>
      <c r="G132" s="88">
        <v>40000</v>
      </c>
      <c r="H132" s="141">
        <f>SUM(E132:G132)</f>
        <v>115000</v>
      </c>
      <c r="I132" s="302"/>
      <c r="J132" s="109">
        <f>H132/$H$230</f>
        <v>2.5785337291270496E-2</v>
      </c>
    </row>
    <row r="133" spans="1:10" ht="15.75" hidden="1" outlineLevel="1" x14ac:dyDescent="0.25">
      <c r="A133" s="216" t="s">
        <v>37</v>
      </c>
      <c r="B133" s="213" t="s">
        <v>12</v>
      </c>
      <c r="C133" s="218" t="s">
        <v>41</v>
      </c>
      <c r="D133" s="77" t="s">
        <v>14</v>
      </c>
      <c r="E133" s="78">
        <v>10921.75</v>
      </c>
      <c r="F133" s="78">
        <v>4290.05</v>
      </c>
      <c r="G133" s="79">
        <v>11387.15</v>
      </c>
      <c r="H133" s="90">
        <f>+SUM(E133:G133)</f>
        <v>26598.949999999997</v>
      </c>
      <c r="I133" s="301">
        <f>H133/H134</f>
        <v>0.70930533333333323</v>
      </c>
      <c r="J133" s="110">
        <v>0</v>
      </c>
    </row>
    <row r="134" spans="1:10" ht="16.5" hidden="1" outlineLevel="1" thickBot="1" x14ac:dyDescent="0.3">
      <c r="A134" s="217"/>
      <c r="B134" s="129"/>
      <c r="C134" s="219"/>
      <c r="D134" s="81" t="s">
        <v>1</v>
      </c>
      <c r="E134" s="88">
        <v>12500</v>
      </c>
      <c r="F134" s="88">
        <v>12500</v>
      </c>
      <c r="G134" s="88">
        <v>12500</v>
      </c>
      <c r="H134" s="141">
        <f>SUM(E134:G134)</f>
        <v>37500</v>
      </c>
      <c r="I134" s="302"/>
      <c r="J134" s="109">
        <f>H134/$H$230</f>
        <v>8.4082621601969006E-3</v>
      </c>
    </row>
    <row r="135" spans="1:10" ht="15.75" hidden="1" outlineLevel="1" x14ac:dyDescent="0.25">
      <c r="A135" s="216" t="s">
        <v>37</v>
      </c>
      <c r="B135" s="213" t="s">
        <v>12</v>
      </c>
      <c r="C135" s="218" t="s">
        <v>42</v>
      </c>
      <c r="D135" s="77" t="s">
        <v>14</v>
      </c>
      <c r="E135" s="78">
        <v>13885</v>
      </c>
      <c r="F135" s="78">
        <v>17552.650000000001</v>
      </c>
      <c r="G135" s="79">
        <v>21739.71</v>
      </c>
      <c r="H135" s="90">
        <f>+SUM(E135:G135)</f>
        <v>53177.36</v>
      </c>
      <c r="I135" s="301">
        <f>H135/H136</f>
        <v>0.91685103448275862</v>
      </c>
      <c r="J135" s="110" t="e">
        <v>#REF!</v>
      </c>
    </row>
    <row r="136" spans="1:10" ht="16.5" hidden="1" outlineLevel="1" thickBot="1" x14ac:dyDescent="0.3">
      <c r="A136" s="217"/>
      <c r="B136" s="129"/>
      <c r="C136" s="219"/>
      <c r="D136" s="81" t="s">
        <v>1</v>
      </c>
      <c r="E136" s="88">
        <v>20000</v>
      </c>
      <c r="F136" s="88">
        <v>20000</v>
      </c>
      <c r="G136" s="88">
        <v>18000</v>
      </c>
      <c r="H136" s="141">
        <f>SUM(E136:G136)</f>
        <v>58000</v>
      </c>
      <c r="I136" s="302"/>
      <c r="J136" s="109">
        <f>H136/$H$230</f>
        <v>1.3004778807771207E-2</v>
      </c>
    </row>
    <row r="137" spans="1:10" ht="15.75" hidden="1" outlineLevel="1" x14ac:dyDescent="0.25">
      <c r="A137" s="216" t="s">
        <v>37</v>
      </c>
      <c r="B137" s="213" t="s">
        <v>12</v>
      </c>
      <c r="C137" s="218" t="s">
        <v>117</v>
      </c>
      <c r="D137" s="77" t="s">
        <v>14</v>
      </c>
      <c r="E137" s="78"/>
      <c r="F137" s="78">
        <v>5073</v>
      </c>
      <c r="G137" s="79">
        <v>7421</v>
      </c>
      <c r="H137" s="90">
        <f>+SUM(E137:G137)</f>
        <v>12494</v>
      </c>
      <c r="I137" s="301">
        <f>H137/H138</f>
        <v>1.1899047619047618</v>
      </c>
      <c r="J137" s="110" t="e">
        <v>#REF!</v>
      </c>
    </row>
    <row r="138" spans="1:10" ht="16.5" hidden="1" outlineLevel="1" thickBot="1" x14ac:dyDescent="0.3">
      <c r="A138" s="217"/>
      <c r="B138" s="129"/>
      <c r="C138" s="219"/>
      <c r="D138" s="81" t="s">
        <v>1</v>
      </c>
      <c r="E138" s="88">
        <v>3500</v>
      </c>
      <c r="F138" s="88">
        <v>3500</v>
      </c>
      <c r="G138" s="88">
        <v>3500</v>
      </c>
      <c r="H138" s="141">
        <f>SUM(E138:G138)</f>
        <v>10500</v>
      </c>
      <c r="I138" s="302"/>
      <c r="J138" s="109">
        <f>H138/$H$230</f>
        <v>2.3543134048551323E-3</v>
      </c>
    </row>
    <row r="139" spans="1:10" ht="15.75" hidden="1" outlineLevel="1" x14ac:dyDescent="0.25">
      <c r="A139" s="216" t="s">
        <v>37</v>
      </c>
      <c r="B139" s="213" t="s">
        <v>12</v>
      </c>
      <c r="C139" s="218" t="s">
        <v>116</v>
      </c>
      <c r="D139" s="77" t="s">
        <v>14</v>
      </c>
      <c r="E139" s="78">
        <v>11524.8</v>
      </c>
      <c r="F139" s="78">
        <v>15193.6</v>
      </c>
      <c r="G139" s="79">
        <v>6915.6100000000006</v>
      </c>
      <c r="H139" s="90">
        <f>+SUM(E139:G139)</f>
        <v>33634.01</v>
      </c>
      <c r="I139" s="301">
        <f>H139/H140</f>
        <v>0.89690693333333338</v>
      </c>
      <c r="J139" s="110" t="e">
        <v>#REF!</v>
      </c>
    </row>
    <row r="140" spans="1:10" ht="16.5" hidden="1" outlineLevel="1" thickBot="1" x14ac:dyDescent="0.3">
      <c r="A140" s="217"/>
      <c r="B140" s="129"/>
      <c r="C140" s="219"/>
      <c r="D140" s="81" t="s">
        <v>1</v>
      </c>
      <c r="E140" s="88">
        <v>12500</v>
      </c>
      <c r="F140" s="88">
        <v>12500</v>
      </c>
      <c r="G140" s="88">
        <v>12500</v>
      </c>
      <c r="H140" s="141">
        <f>SUM(E140:G140)</f>
        <v>37500</v>
      </c>
      <c r="I140" s="302"/>
      <c r="J140" s="109">
        <f>H140/$H$230</f>
        <v>8.4082621601969006E-3</v>
      </c>
    </row>
    <row r="141" spans="1:10" ht="15.75" hidden="1" outlineLevel="1" x14ac:dyDescent="0.25">
      <c r="A141" s="216" t="s">
        <v>37</v>
      </c>
      <c r="B141" s="213" t="s">
        <v>12</v>
      </c>
      <c r="C141" s="218" t="s">
        <v>115</v>
      </c>
      <c r="D141" s="77" t="s">
        <v>14</v>
      </c>
      <c r="E141" s="78">
        <v>10400.68</v>
      </c>
      <c r="F141" s="78">
        <v>5958.36</v>
      </c>
      <c r="G141" s="79">
        <v>4874.18</v>
      </c>
      <c r="H141" s="90">
        <f>+SUM(E141:G141)</f>
        <v>21233.22</v>
      </c>
      <c r="I141" s="301">
        <f>H141/H142</f>
        <v>1.2868618181818183</v>
      </c>
      <c r="J141" s="110" t="e">
        <v>#REF!</v>
      </c>
    </row>
    <row r="142" spans="1:10" ht="16.5" hidden="1" outlineLevel="1" thickBot="1" x14ac:dyDescent="0.3">
      <c r="A142" s="217"/>
      <c r="B142" s="129"/>
      <c r="C142" s="219"/>
      <c r="D142" s="81" t="s">
        <v>1</v>
      </c>
      <c r="E142" s="88">
        <v>5000</v>
      </c>
      <c r="F142" s="88">
        <v>6500</v>
      </c>
      <c r="G142" s="88">
        <v>5000</v>
      </c>
      <c r="H142" s="141">
        <f>SUM(E142:G142)</f>
        <v>16500</v>
      </c>
      <c r="I142" s="302"/>
      <c r="J142" s="109">
        <f>H142/$H$230</f>
        <v>3.6996353504866364E-3</v>
      </c>
    </row>
    <row r="143" spans="1:10" ht="15.75" hidden="1" outlineLevel="1" x14ac:dyDescent="0.25">
      <c r="A143" s="216" t="s">
        <v>37</v>
      </c>
      <c r="B143" s="213" t="s">
        <v>12</v>
      </c>
      <c r="C143" s="218" t="s">
        <v>43</v>
      </c>
      <c r="D143" s="77" t="s">
        <v>14</v>
      </c>
      <c r="E143" s="78">
        <v>2628.9</v>
      </c>
      <c r="F143" s="78">
        <v>53.7</v>
      </c>
      <c r="G143" s="79">
        <v>5625.7</v>
      </c>
      <c r="H143" s="90">
        <f>+SUM(E143:G143)</f>
        <v>8308.2999999999993</v>
      </c>
      <c r="I143" s="301">
        <f>H143/H144</f>
        <v>0.41541499999999998</v>
      </c>
      <c r="J143" s="110" t="e">
        <v>#REF!</v>
      </c>
    </row>
    <row r="144" spans="1:10" ht="16.5" hidden="1" outlineLevel="1" thickBot="1" x14ac:dyDescent="0.3">
      <c r="A144" s="217"/>
      <c r="B144" s="129"/>
      <c r="C144" s="219"/>
      <c r="D144" s="81" t="s">
        <v>1</v>
      </c>
      <c r="E144" s="88">
        <v>5000</v>
      </c>
      <c r="F144" s="88">
        <v>5000</v>
      </c>
      <c r="G144" s="88">
        <v>10000</v>
      </c>
      <c r="H144" s="141">
        <f>SUM(E144:G144)</f>
        <v>20000</v>
      </c>
      <c r="I144" s="302"/>
      <c r="J144" s="109">
        <f>H144/$H$230</f>
        <v>4.4844064854383473E-3</v>
      </c>
    </row>
    <row r="145" spans="1:10" ht="15.75" hidden="1" outlineLevel="1" x14ac:dyDescent="0.25">
      <c r="A145" s="216" t="s">
        <v>37</v>
      </c>
      <c r="B145" s="213" t="s">
        <v>12</v>
      </c>
      <c r="C145" s="218" t="s">
        <v>44</v>
      </c>
      <c r="D145" s="77" t="s">
        <v>14</v>
      </c>
      <c r="E145" s="78">
        <v>6839</v>
      </c>
      <c r="F145" s="78">
        <v>1712</v>
      </c>
      <c r="G145" s="79">
        <v>769.5</v>
      </c>
      <c r="H145" s="90">
        <f>+SUM(E145:G145)</f>
        <v>9320.5</v>
      </c>
      <c r="I145" s="301">
        <f>H145/H146</f>
        <v>0.93205000000000005</v>
      </c>
      <c r="J145" s="110" t="e">
        <v>#REF!</v>
      </c>
    </row>
    <row r="146" spans="1:10" ht="16.5" hidden="1" outlineLevel="1" thickBot="1" x14ac:dyDescent="0.3">
      <c r="A146" s="217"/>
      <c r="B146" s="129"/>
      <c r="C146" s="219"/>
      <c r="D146" s="81" t="s">
        <v>1</v>
      </c>
      <c r="E146" s="88">
        <v>2500</v>
      </c>
      <c r="F146" s="88">
        <v>7000</v>
      </c>
      <c r="G146" s="88">
        <v>500</v>
      </c>
      <c r="H146" s="141">
        <f>SUM(E146:G146)</f>
        <v>10000</v>
      </c>
      <c r="I146" s="302"/>
      <c r="J146" s="109">
        <f>H146/$H$230</f>
        <v>2.2422032427191737E-3</v>
      </c>
    </row>
    <row r="147" spans="1:10" ht="15.75" hidden="1" outlineLevel="1" x14ac:dyDescent="0.25">
      <c r="A147" s="216" t="s">
        <v>37</v>
      </c>
      <c r="B147" s="213" t="s">
        <v>12</v>
      </c>
      <c r="C147" s="218" t="s">
        <v>114</v>
      </c>
      <c r="D147" s="77" t="s">
        <v>14</v>
      </c>
      <c r="E147" s="78">
        <v>3999</v>
      </c>
      <c r="F147" s="78">
        <v>6412</v>
      </c>
      <c r="G147" s="79">
        <v>948</v>
      </c>
      <c r="H147" s="90">
        <f>+SUM(E147:G147)</f>
        <v>11359</v>
      </c>
      <c r="I147" s="301">
        <f>H147/H148</f>
        <v>0.7099375</v>
      </c>
      <c r="J147" s="110" t="e">
        <v>#REF!</v>
      </c>
    </row>
    <row r="148" spans="1:10" ht="16.5" hidden="1" outlineLevel="1" thickBot="1" x14ac:dyDescent="0.3">
      <c r="A148" s="217"/>
      <c r="B148" s="129"/>
      <c r="C148" s="219"/>
      <c r="D148" s="81" t="s">
        <v>1</v>
      </c>
      <c r="E148" s="88">
        <v>3000</v>
      </c>
      <c r="F148" s="88">
        <v>3000</v>
      </c>
      <c r="G148" s="88">
        <v>10000</v>
      </c>
      <c r="H148" s="141">
        <f>SUM(E148:G148)</f>
        <v>16000</v>
      </c>
      <c r="I148" s="302"/>
      <c r="J148" s="109">
        <f>H148/$H$230</f>
        <v>3.5875251883506778E-3</v>
      </c>
    </row>
    <row r="149" spans="1:10" ht="15.75" hidden="1" outlineLevel="1" x14ac:dyDescent="0.25">
      <c r="A149" s="216" t="s">
        <v>37</v>
      </c>
      <c r="B149" s="213" t="s">
        <v>12</v>
      </c>
      <c r="C149" s="218" t="s">
        <v>134</v>
      </c>
      <c r="D149" s="77" t="s">
        <v>14</v>
      </c>
      <c r="E149" s="78">
        <v>4893</v>
      </c>
      <c r="F149" s="78">
        <v>3623.64</v>
      </c>
      <c r="G149" s="79">
        <v>3745.14</v>
      </c>
      <c r="H149" s="90">
        <f>+SUM(E149:G149)</f>
        <v>12261.779999999999</v>
      </c>
      <c r="I149" s="301">
        <f>H149/H150</f>
        <v>1.1677885714285714</v>
      </c>
      <c r="J149" s="110" t="e">
        <v>#REF!</v>
      </c>
    </row>
    <row r="150" spans="1:10" ht="16.5" hidden="1" outlineLevel="1" thickBot="1" x14ac:dyDescent="0.3">
      <c r="A150" s="217"/>
      <c r="B150" s="129"/>
      <c r="C150" s="219"/>
      <c r="D150" s="81" t="s">
        <v>1</v>
      </c>
      <c r="E150" s="88">
        <v>2500</v>
      </c>
      <c r="F150" s="88">
        <v>5500</v>
      </c>
      <c r="G150" s="88">
        <v>2500</v>
      </c>
      <c r="H150" s="141">
        <f>SUM(E150:G150)</f>
        <v>10500</v>
      </c>
      <c r="I150" s="302"/>
      <c r="J150" s="109">
        <f>H150/$H$230</f>
        <v>2.3543134048551323E-3</v>
      </c>
    </row>
    <row r="151" spans="1:10" ht="15.75" hidden="1" outlineLevel="1" x14ac:dyDescent="0.25">
      <c r="A151" s="216" t="s">
        <v>37</v>
      </c>
      <c r="B151" s="213" t="s">
        <v>12</v>
      </c>
      <c r="C151" s="218" t="s">
        <v>113</v>
      </c>
      <c r="D151" s="77" t="s">
        <v>14</v>
      </c>
      <c r="E151" s="78">
        <v>10811.1</v>
      </c>
      <c r="F151" s="78">
        <v>29357.48</v>
      </c>
      <c r="G151" s="79">
        <v>30492.63</v>
      </c>
      <c r="H151" s="90">
        <f>+SUM(E151:G151)</f>
        <v>70661.210000000006</v>
      </c>
      <c r="I151" s="301">
        <f>H151/H152</f>
        <v>2.7177388461538463</v>
      </c>
      <c r="J151" s="110" t="e">
        <v>#REF!</v>
      </c>
    </row>
    <row r="152" spans="1:10" ht="16.5" hidden="1" outlineLevel="1" thickBot="1" x14ac:dyDescent="0.3">
      <c r="A152" s="217"/>
      <c r="B152" s="129"/>
      <c r="C152" s="219"/>
      <c r="D152" s="81" t="s">
        <v>1</v>
      </c>
      <c r="E152" s="88">
        <v>6000</v>
      </c>
      <c r="F152" s="88">
        <v>10000</v>
      </c>
      <c r="G152" s="88">
        <v>10000</v>
      </c>
      <c r="H152" s="141">
        <f>SUM(E152:G152)</f>
        <v>26000</v>
      </c>
      <c r="I152" s="302"/>
      <c r="J152" s="109">
        <f>H152/$H$230</f>
        <v>5.8297284310698519E-3</v>
      </c>
    </row>
    <row r="153" spans="1:10" ht="15.75" hidden="1" outlineLevel="1" x14ac:dyDescent="0.25">
      <c r="A153" s="216" t="s">
        <v>37</v>
      </c>
      <c r="B153" s="213" t="s">
        <v>12</v>
      </c>
      <c r="C153" s="218" t="s">
        <v>96</v>
      </c>
      <c r="D153" s="77" t="s">
        <v>14</v>
      </c>
      <c r="E153" s="78">
        <v>10140.58</v>
      </c>
      <c r="F153" s="78">
        <v>18469</v>
      </c>
      <c r="G153" s="79">
        <v>8439.5</v>
      </c>
      <c r="H153" s="90">
        <f>+SUM(E153:G153)</f>
        <v>37049.08</v>
      </c>
      <c r="I153" s="301">
        <f>H153/H154</f>
        <v>1.3980784905660377</v>
      </c>
      <c r="J153" s="110" t="e">
        <v>#REF!</v>
      </c>
    </row>
    <row r="154" spans="1:10" ht="16.5" hidden="1" outlineLevel="1" thickBot="1" x14ac:dyDescent="0.3">
      <c r="A154" s="217"/>
      <c r="B154" s="129"/>
      <c r="C154" s="219"/>
      <c r="D154" s="81" t="s">
        <v>1</v>
      </c>
      <c r="E154" s="88">
        <v>9000</v>
      </c>
      <c r="F154" s="88">
        <v>9000</v>
      </c>
      <c r="G154" s="88">
        <v>8500</v>
      </c>
      <c r="H154" s="141">
        <f>SUM(E154:G154)</f>
        <v>26500</v>
      </c>
      <c r="I154" s="302"/>
      <c r="J154" s="109">
        <f>H154/$H$230</f>
        <v>5.9418385932058105E-3</v>
      </c>
    </row>
    <row r="155" spans="1:10" ht="15.75" hidden="1" outlineLevel="1" x14ac:dyDescent="0.25">
      <c r="A155" s="216" t="s">
        <v>37</v>
      </c>
      <c r="B155" s="213" t="s">
        <v>12</v>
      </c>
      <c r="C155" s="218" t="s">
        <v>45</v>
      </c>
      <c r="D155" s="77" t="s">
        <v>14</v>
      </c>
      <c r="E155" s="78">
        <v>23576.29</v>
      </c>
      <c r="F155" s="78">
        <v>34569.47</v>
      </c>
      <c r="G155" s="79">
        <v>24825</v>
      </c>
      <c r="H155" s="90">
        <f>+SUM(E155:G155)</f>
        <v>82970.760000000009</v>
      </c>
      <c r="I155" s="301">
        <f>H155/H156</f>
        <v>1.3828460000000002</v>
      </c>
      <c r="J155" s="110" t="e">
        <v>#REF!</v>
      </c>
    </row>
    <row r="156" spans="1:10" ht="16.5" hidden="1" outlineLevel="1" thickBot="1" x14ac:dyDescent="0.3">
      <c r="A156" s="217"/>
      <c r="B156" s="129"/>
      <c r="C156" s="219"/>
      <c r="D156" s="81" t="s">
        <v>1</v>
      </c>
      <c r="E156" s="88">
        <v>20000</v>
      </c>
      <c r="F156" s="88">
        <v>20000</v>
      </c>
      <c r="G156" s="88">
        <v>20000</v>
      </c>
      <c r="H156" s="141">
        <f>SUM(E156:G156)</f>
        <v>60000</v>
      </c>
      <c r="I156" s="302"/>
      <c r="J156" s="109">
        <f>H156/$H$230</f>
        <v>1.3453219456315042E-2</v>
      </c>
    </row>
    <row r="157" spans="1:10" ht="15.75" hidden="1" outlineLevel="1" x14ac:dyDescent="0.25">
      <c r="A157" s="216" t="s">
        <v>37</v>
      </c>
      <c r="B157" s="213" t="s">
        <v>12</v>
      </c>
      <c r="C157" s="218" t="s">
        <v>46</v>
      </c>
      <c r="D157" s="77" t="s">
        <v>14</v>
      </c>
      <c r="E157" s="78">
        <v>14481.54</v>
      </c>
      <c r="F157" s="78">
        <v>14538.941699999999</v>
      </c>
      <c r="G157" s="79">
        <v>14974.169999999998</v>
      </c>
      <c r="H157" s="90">
        <f>+SUM(E157:G157)</f>
        <v>43994.651700000002</v>
      </c>
      <c r="I157" s="301">
        <f>H157/H158</f>
        <v>0.58659535600000001</v>
      </c>
      <c r="J157" s="110" t="e">
        <v>#REF!</v>
      </c>
    </row>
    <row r="158" spans="1:10" ht="16.5" hidden="1" outlineLevel="1" thickBot="1" x14ac:dyDescent="0.3">
      <c r="A158" s="217"/>
      <c r="B158" s="129"/>
      <c r="C158" s="219"/>
      <c r="D158" s="81" t="s">
        <v>1</v>
      </c>
      <c r="E158" s="88">
        <v>25000</v>
      </c>
      <c r="F158" s="88">
        <v>25000</v>
      </c>
      <c r="G158" s="88">
        <v>25000</v>
      </c>
      <c r="H158" s="141">
        <f>SUM(E158:G158)</f>
        <v>75000</v>
      </c>
      <c r="I158" s="302"/>
      <c r="J158" s="109">
        <f>H158/$H$230</f>
        <v>1.6816524320393801E-2</v>
      </c>
    </row>
    <row r="159" spans="1:10" ht="15.75" hidden="1" outlineLevel="1" x14ac:dyDescent="0.25">
      <c r="A159" s="216" t="s">
        <v>37</v>
      </c>
      <c r="B159" s="213" t="s">
        <v>12</v>
      </c>
      <c r="C159" s="218" t="s">
        <v>47</v>
      </c>
      <c r="D159" s="77" t="s">
        <v>14</v>
      </c>
      <c r="E159" s="78">
        <v>14553.46</v>
      </c>
      <c r="F159" s="78">
        <v>9163.5499999999993</v>
      </c>
      <c r="G159" s="79">
        <v>16428.14</v>
      </c>
      <c r="H159" s="90">
        <f>+SUM(E159:G159)</f>
        <v>40145.149999999994</v>
      </c>
      <c r="I159" s="301">
        <f>H159/H160</f>
        <v>1.0705373333333332</v>
      </c>
      <c r="J159" s="110" t="e">
        <v>#REF!</v>
      </c>
    </row>
    <row r="160" spans="1:10" ht="16.5" hidden="1" outlineLevel="1" thickBot="1" x14ac:dyDescent="0.3">
      <c r="A160" s="217"/>
      <c r="B160" s="129"/>
      <c r="C160" s="219"/>
      <c r="D160" s="81" t="s">
        <v>1</v>
      </c>
      <c r="E160" s="88">
        <v>12500</v>
      </c>
      <c r="F160" s="88">
        <v>12500</v>
      </c>
      <c r="G160" s="88">
        <v>12500</v>
      </c>
      <c r="H160" s="141">
        <f>SUM(E160:G160)</f>
        <v>37500</v>
      </c>
      <c r="I160" s="302"/>
      <c r="J160" s="109">
        <f>H160/$H$230</f>
        <v>8.4082621601969006E-3</v>
      </c>
    </row>
    <row r="161" spans="1:11" ht="15.75" hidden="1" outlineLevel="1" x14ac:dyDescent="0.25">
      <c r="A161" s="216" t="s">
        <v>37</v>
      </c>
      <c r="B161" s="213" t="s">
        <v>12</v>
      </c>
      <c r="C161" s="218" t="s">
        <v>48</v>
      </c>
      <c r="D161" s="77" t="s">
        <v>14</v>
      </c>
      <c r="E161" s="78">
        <v>1282.82</v>
      </c>
      <c r="F161" s="78">
        <v>1220.27</v>
      </c>
      <c r="G161" s="79">
        <v>1860.89</v>
      </c>
      <c r="H161" s="90">
        <f>+SUM(E161:G161)</f>
        <v>4363.9800000000005</v>
      </c>
      <c r="I161" s="301">
        <f>H161/H162</f>
        <v>0.31171285714285718</v>
      </c>
      <c r="J161" s="110" t="e">
        <v>#REF!</v>
      </c>
    </row>
    <row r="162" spans="1:11" ht="16.5" hidden="1" outlineLevel="1" thickBot="1" x14ac:dyDescent="0.3">
      <c r="A162" s="217"/>
      <c r="B162" s="129"/>
      <c r="C162" s="219"/>
      <c r="D162" s="81" t="s">
        <v>1</v>
      </c>
      <c r="E162" s="88">
        <v>1000</v>
      </c>
      <c r="F162" s="88">
        <v>11000</v>
      </c>
      <c r="G162" s="88">
        <v>2000</v>
      </c>
      <c r="H162" s="141">
        <f>SUM(E162:G162)</f>
        <v>14000</v>
      </c>
      <c r="I162" s="302"/>
      <c r="J162" s="109">
        <f>H162/$H$230</f>
        <v>3.1390845398068432E-3</v>
      </c>
    </row>
    <row r="163" spans="1:11" ht="16.5" hidden="1" outlineLevel="1" thickBot="1" x14ac:dyDescent="0.3">
      <c r="A163" s="216" t="s">
        <v>37</v>
      </c>
      <c r="B163" s="213" t="s">
        <v>23</v>
      </c>
      <c r="C163" s="214" t="s">
        <v>49</v>
      </c>
      <c r="D163" s="77" t="s">
        <v>14</v>
      </c>
      <c r="E163" s="78">
        <v>54768.9</v>
      </c>
      <c r="F163" s="78">
        <v>32615.040000000001</v>
      </c>
      <c r="G163" s="79">
        <v>50633.85</v>
      </c>
      <c r="H163" s="90">
        <f>+SUM(E163:G163)</f>
        <v>138017.79</v>
      </c>
      <c r="I163" s="303">
        <v>0</v>
      </c>
      <c r="J163" s="110" t="e">
        <v>#REF!</v>
      </c>
    </row>
    <row r="164" spans="1:11" ht="15.75" hidden="1" outlineLevel="1" x14ac:dyDescent="0.25">
      <c r="A164" s="217"/>
      <c r="B164" s="129"/>
      <c r="C164" s="215"/>
      <c r="D164" s="84" t="s">
        <v>25</v>
      </c>
      <c r="E164" s="94"/>
      <c r="F164" s="94"/>
      <c r="G164" s="94"/>
      <c r="H164" s="91">
        <f>SUM(E164:G164)</f>
        <v>0</v>
      </c>
      <c r="I164" s="304"/>
      <c r="J164" s="110" t="e">
        <v>#DIV/0!</v>
      </c>
    </row>
    <row r="165" spans="1:11" ht="16.5" hidden="1" outlineLevel="1" thickBot="1" x14ac:dyDescent="0.3">
      <c r="A165" s="217"/>
      <c r="B165" s="129"/>
      <c r="C165" s="215"/>
      <c r="D165" s="81" t="s">
        <v>1</v>
      </c>
      <c r="E165" s="95">
        <v>45000</v>
      </c>
      <c r="F165" s="88">
        <v>50000</v>
      </c>
      <c r="G165" s="88">
        <v>50000</v>
      </c>
      <c r="H165" s="92">
        <f>SUM(E165:G165)</f>
        <v>145000</v>
      </c>
      <c r="I165" s="304"/>
      <c r="J165" s="109">
        <f>H165/$H$230</f>
        <v>3.2511947019428021E-2</v>
      </c>
    </row>
    <row r="166" spans="1:11" ht="17.25" collapsed="1" thickTop="1" thickBot="1" x14ac:dyDescent="0.25">
      <c r="A166" s="226" t="s">
        <v>37</v>
      </c>
      <c r="B166" s="228" t="s">
        <v>0</v>
      </c>
      <c r="C166" s="226" t="s">
        <v>0</v>
      </c>
      <c r="D166" s="56" t="s">
        <v>14</v>
      </c>
      <c r="E166" s="37">
        <f t="shared" ref="E166:H166" si="15">SUM(E163,E161,E159,E157,E155,E153,E151,E149,E147,E145,E143,E141,E139,E137,E135,E133,E131,E129,E127,E125,E123,E119,E117,E164,E121)</f>
        <v>296046.94</v>
      </c>
      <c r="F166" s="37">
        <v>260760.8217</v>
      </c>
      <c r="G166" s="37">
        <f t="shared" si="15"/>
        <v>273964.54340000002</v>
      </c>
      <c r="H166" s="37">
        <f t="shared" si="15"/>
        <v>830772.3051</v>
      </c>
      <c r="I166" s="315">
        <f>H166/H167</f>
        <v>0.95821488477508654</v>
      </c>
      <c r="J166" s="110" t="e">
        <v>#DIV/0!</v>
      </c>
      <c r="K166" s="130"/>
    </row>
    <row r="167" spans="1:11" ht="17.25" thickTop="1" thickBot="1" x14ac:dyDescent="0.3">
      <c r="A167" s="227"/>
      <c r="B167" s="229"/>
      <c r="C167" s="227"/>
      <c r="D167" s="64" t="s">
        <v>1</v>
      </c>
      <c r="E167" s="11">
        <f t="shared" ref="E167:H167" si="16">SUM(E165,E162,E160,E158,E156,E154,E152,E150,E148,E146,E144,E142,E140,E138,E136,E134,E132,E130,E128,E126,E124,E122,E120,E118)</f>
        <v>273000</v>
      </c>
      <c r="F167" s="11">
        <v>298000</v>
      </c>
      <c r="G167" s="11">
        <f t="shared" si="16"/>
        <v>296000</v>
      </c>
      <c r="H167" s="11">
        <f t="shared" si="16"/>
        <v>867000</v>
      </c>
      <c r="I167" s="315"/>
      <c r="J167" s="109">
        <f>H167/$H$230</f>
        <v>0.19439902114375235</v>
      </c>
    </row>
    <row r="168" spans="1:11" ht="17.25" thickTop="1" thickBot="1" x14ac:dyDescent="0.3">
      <c r="A168" s="227"/>
      <c r="B168" s="229"/>
      <c r="C168" s="227"/>
      <c r="D168" s="57" t="s">
        <v>2</v>
      </c>
      <c r="E168" s="8">
        <f t="shared" ref="E168:G168" si="17">E166/E167</f>
        <v>1.0844210256410256</v>
      </c>
      <c r="F168" s="8">
        <v>0.87503631442953023</v>
      </c>
      <c r="G168" s="8">
        <f t="shared" si="17"/>
        <v>0.92555588986486492</v>
      </c>
      <c r="H168" s="46">
        <f>H166/H167</f>
        <v>0.95821488477508654</v>
      </c>
      <c r="I168" s="315"/>
      <c r="J168" s="103"/>
    </row>
    <row r="169" spans="1:11" ht="17.25" thickTop="1" thickBot="1" x14ac:dyDescent="0.3">
      <c r="A169" s="227"/>
      <c r="B169" s="229"/>
      <c r="C169" s="227"/>
      <c r="D169" s="68" t="s">
        <v>3</v>
      </c>
      <c r="E169" s="10">
        <f t="shared" ref="E169:G169" si="18">E166-E167</f>
        <v>23046.940000000002</v>
      </c>
      <c r="F169" s="10">
        <v>-37239.1783</v>
      </c>
      <c r="G169" s="10">
        <f t="shared" si="18"/>
        <v>-22035.456599999976</v>
      </c>
      <c r="H169" s="49">
        <f>H166-H167</f>
        <v>-36227.694900000002</v>
      </c>
      <c r="I169" s="315"/>
      <c r="J169" s="104"/>
    </row>
    <row r="170" spans="1:11" ht="16.5" thickBot="1" x14ac:dyDescent="0.3">
      <c r="A170" s="227"/>
      <c r="B170" s="229"/>
      <c r="C170" s="227"/>
      <c r="D170" s="66" t="s">
        <v>4</v>
      </c>
      <c r="E170" s="9">
        <f t="shared" ref="E170:G170" si="19">E169/E166</f>
        <v>7.7848938414968927E-2</v>
      </c>
      <c r="F170" s="9">
        <v>-0.14280971373392479</v>
      </c>
      <c r="G170" s="9">
        <f t="shared" si="19"/>
        <v>-8.0431782618772166E-2</v>
      </c>
      <c r="H170" s="48">
        <f>H169/H166</f>
        <v>-4.3607249155518342E-2</v>
      </c>
      <c r="I170" s="18"/>
      <c r="J170" s="105"/>
    </row>
    <row r="171" spans="1:11" ht="15.75" thickBot="1" x14ac:dyDescent="0.25">
      <c r="A171" s="6"/>
      <c r="B171" s="6"/>
      <c r="C171" s="75"/>
      <c r="D171" s="67" t="s">
        <v>26</v>
      </c>
      <c r="E171" s="36"/>
      <c r="F171" s="36"/>
      <c r="G171" s="36"/>
      <c r="H171" s="67"/>
      <c r="I171" s="36"/>
      <c r="J171" s="106"/>
    </row>
    <row r="172" spans="1:11" ht="15.75" hidden="1" outlineLevel="1" x14ac:dyDescent="0.25">
      <c r="A172" s="220" t="s">
        <v>50</v>
      </c>
      <c r="B172" s="213" t="s">
        <v>12</v>
      </c>
      <c r="C172" s="222" t="s">
        <v>52</v>
      </c>
      <c r="D172" s="77" t="s">
        <v>14</v>
      </c>
      <c r="E172" s="78">
        <v>57461</v>
      </c>
      <c r="F172" s="78">
        <v>19703</v>
      </c>
      <c r="G172" s="79">
        <v>18574</v>
      </c>
      <c r="H172" s="90">
        <f>+SUM(E172:G172)</f>
        <v>95738</v>
      </c>
      <c r="I172" s="301">
        <f>H172/H173</f>
        <v>0.95738000000000001</v>
      </c>
      <c r="J172" s="110">
        <v>0</v>
      </c>
    </row>
    <row r="173" spans="1:11" ht="16.5" hidden="1" outlineLevel="1" thickBot="1" x14ac:dyDescent="0.3">
      <c r="A173" s="221"/>
      <c r="B173" s="129"/>
      <c r="C173" s="223"/>
      <c r="D173" s="81" t="s">
        <v>1</v>
      </c>
      <c r="E173" s="88">
        <v>20000</v>
      </c>
      <c r="F173" s="88">
        <v>45000</v>
      </c>
      <c r="G173" s="88">
        <v>35000</v>
      </c>
      <c r="H173" s="141">
        <f>SUM(E173:G173)</f>
        <v>100000</v>
      </c>
      <c r="I173" s="302"/>
      <c r="J173" s="109">
        <f>H173/$H$230</f>
        <v>2.2422032427191738E-2</v>
      </c>
    </row>
    <row r="174" spans="1:11" ht="15.75" hidden="1" outlineLevel="1" x14ac:dyDescent="0.25">
      <c r="A174" s="220" t="s">
        <v>50</v>
      </c>
      <c r="B174" s="213" t="s">
        <v>12</v>
      </c>
      <c r="C174" s="222" t="s">
        <v>53</v>
      </c>
      <c r="D174" s="77" t="s">
        <v>14</v>
      </c>
      <c r="E174" s="125">
        <v>118686.77</v>
      </c>
      <c r="F174" s="78">
        <v>49118.570099999997</v>
      </c>
      <c r="G174" s="79">
        <v>30806.995999999999</v>
      </c>
      <c r="H174" s="90">
        <f>+SUM(E174:G174)</f>
        <v>198612.33610000001</v>
      </c>
      <c r="I174" s="301">
        <f>H174/H175</f>
        <v>0.90278334590909093</v>
      </c>
      <c r="J174" s="110">
        <v>0</v>
      </c>
    </row>
    <row r="175" spans="1:11" ht="16.5" hidden="1" outlineLevel="1" thickBot="1" x14ac:dyDescent="0.3">
      <c r="A175" s="221"/>
      <c r="B175" s="129"/>
      <c r="C175" s="223"/>
      <c r="D175" s="81" t="s">
        <v>1</v>
      </c>
      <c r="E175" s="88">
        <v>120000</v>
      </c>
      <c r="F175" s="88">
        <v>70000</v>
      </c>
      <c r="G175" s="88">
        <v>30000</v>
      </c>
      <c r="H175" s="141">
        <f>SUM(E175:G175)</f>
        <v>220000</v>
      </c>
      <c r="I175" s="302"/>
      <c r="J175" s="109">
        <f>H175/$H$230</f>
        <v>4.9328471339821822E-2</v>
      </c>
    </row>
    <row r="176" spans="1:11" ht="15.75" hidden="1" outlineLevel="1" x14ac:dyDescent="0.25">
      <c r="A176" s="220" t="s">
        <v>50</v>
      </c>
      <c r="B176" s="213" t="s">
        <v>12</v>
      </c>
      <c r="C176" s="222" t="s">
        <v>112</v>
      </c>
      <c r="D176" s="77" t="s">
        <v>14</v>
      </c>
      <c r="E176" s="78">
        <v>6988</v>
      </c>
      <c r="F176" s="78">
        <v>7250</v>
      </c>
      <c r="G176" s="79">
        <v>5225.3635999999997</v>
      </c>
      <c r="H176" s="90">
        <f>+SUM(E176:G176)</f>
        <v>19463.363600000001</v>
      </c>
      <c r="I176" s="301" t="e">
        <f>H176/H177</f>
        <v>#DIV/0!</v>
      </c>
      <c r="J176" s="110">
        <v>0</v>
      </c>
    </row>
    <row r="177" spans="1:11" ht="16.5" hidden="1" outlineLevel="1" thickBot="1" x14ac:dyDescent="0.3">
      <c r="A177" s="221"/>
      <c r="B177" s="129"/>
      <c r="C177" s="223"/>
      <c r="D177" s="81" t="s">
        <v>1</v>
      </c>
      <c r="E177" s="101"/>
      <c r="F177" s="101"/>
      <c r="G177" s="101"/>
      <c r="H177" s="141"/>
      <c r="I177" s="302"/>
      <c r="J177" s="109">
        <f>H177/$H$230</f>
        <v>0</v>
      </c>
    </row>
    <row r="178" spans="1:11" ht="15.75" hidden="1" outlineLevel="1" x14ac:dyDescent="0.25">
      <c r="A178" s="220" t="s">
        <v>50</v>
      </c>
      <c r="B178" s="213" t="s">
        <v>12</v>
      </c>
      <c r="C178" s="222" t="s">
        <v>71</v>
      </c>
      <c r="D178" s="77" t="s">
        <v>14</v>
      </c>
      <c r="E178" s="78"/>
      <c r="F178" s="78"/>
      <c r="G178" s="79">
        <v>514</v>
      </c>
      <c r="H178" s="90">
        <f>+SUM(E178:G178)</f>
        <v>514</v>
      </c>
      <c r="I178" s="301" t="e">
        <f>H178/H179</f>
        <v>#DIV/0!</v>
      </c>
      <c r="J178" s="110">
        <v>0</v>
      </c>
    </row>
    <row r="179" spans="1:11" ht="16.5" hidden="1" outlineLevel="1" thickBot="1" x14ac:dyDescent="0.3">
      <c r="A179" s="221"/>
      <c r="B179" s="129"/>
      <c r="C179" s="223"/>
      <c r="D179" s="81" t="s">
        <v>1</v>
      </c>
      <c r="E179" s="88"/>
      <c r="F179" s="88"/>
      <c r="G179" s="88"/>
      <c r="H179" s="141"/>
      <c r="I179" s="302"/>
      <c r="J179" s="109">
        <f>H179/$H$230</f>
        <v>0</v>
      </c>
    </row>
    <row r="180" spans="1:11" ht="15.75" hidden="1" outlineLevel="1" x14ac:dyDescent="0.25">
      <c r="A180" s="213" t="s">
        <v>50</v>
      </c>
      <c r="B180" s="213" t="s">
        <v>36</v>
      </c>
      <c r="C180" s="214" t="s">
        <v>56</v>
      </c>
      <c r="D180" s="77" t="s">
        <v>14</v>
      </c>
      <c r="E180" s="78">
        <v>-5794</v>
      </c>
      <c r="F180" s="78">
        <v>1575.5</v>
      </c>
      <c r="G180" s="79">
        <v>577.12</v>
      </c>
      <c r="H180" s="90">
        <f>+SUM(E180:G180)</f>
        <v>-3641.38</v>
      </c>
      <c r="I180" s="311" t="e">
        <f>H180/H181</f>
        <v>#DIV/0!</v>
      </c>
      <c r="J180" s="110">
        <v>0</v>
      </c>
    </row>
    <row r="181" spans="1:11" ht="15.75" hidden="1" outlineLevel="1" x14ac:dyDescent="0.25">
      <c r="A181" s="129"/>
      <c r="B181" s="129"/>
      <c r="C181" s="215"/>
      <c r="D181" s="84" t="s">
        <v>25</v>
      </c>
      <c r="E181" s="144"/>
      <c r="F181" s="144"/>
      <c r="G181" s="144"/>
      <c r="H181" s="91">
        <f>SUM(E181:G181)</f>
        <v>0</v>
      </c>
      <c r="I181" s="312"/>
      <c r="J181" s="109">
        <f>H181/$H$230</f>
        <v>0</v>
      </c>
    </row>
    <row r="182" spans="1:11" ht="16.5" hidden="1" outlineLevel="1" thickBot="1" x14ac:dyDescent="0.3">
      <c r="A182" s="129"/>
      <c r="B182" s="129"/>
      <c r="C182" s="215"/>
      <c r="D182" s="81" t="s">
        <v>1</v>
      </c>
      <c r="E182" s="88"/>
      <c r="F182" s="88"/>
      <c r="G182" s="88"/>
      <c r="H182" s="92"/>
      <c r="I182" s="312"/>
      <c r="J182" s="127"/>
    </row>
    <row r="183" spans="1:11" ht="16.5" collapsed="1" thickBot="1" x14ac:dyDescent="0.25">
      <c r="A183" s="226" t="s">
        <v>50</v>
      </c>
      <c r="B183" s="228" t="s">
        <v>0</v>
      </c>
      <c r="C183" s="226" t="s">
        <v>0</v>
      </c>
      <c r="D183" s="56" t="s">
        <v>14</v>
      </c>
      <c r="E183" s="89">
        <f t="shared" ref="E183:H183" si="20">E180+E178+E176+E174+E172+E89+E181</f>
        <v>180699.27000000002</v>
      </c>
      <c r="F183" s="89">
        <v>83114.320099999997</v>
      </c>
      <c r="G183" s="89">
        <f t="shared" si="20"/>
        <v>58931.479599999999</v>
      </c>
      <c r="H183" s="89">
        <f t="shared" si="20"/>
        <v>322745.06969999999</v>
      </c>
      <c r="I183" s="316">
        <f>H183/H184</f>
        <v>1.0085783428124999</v>
      </c>
      <c r="J183" s="111" t="e">
        <v>#DIV/0!</v>
      </c>
      <c r="K183" s="130"/>
    </row>
    <row r="184" spans="1:11" ht="17.25" thickTop="1" thickBot="1" x14ac:dyDescent="0.3">
      <c r="A184" s="227"/>
      <c r="B184" s="229"/>
      <c r="C184" s="227"/>
      <c r="D184" s="64" t="s">
        <v>1</v>
      </c>
      <c r="E184" s="7">
        <f t="shared" ref="E184:H184" si="21">E182+E179+E177+E175+E173</f>
        <v>140000</v>
      </c>
      <c r="F184" s="7">
        <v>165000</v>
      </c>
      <c r="G184" s="7">
        <f t="shared" si="21"/>
        <v>65000</v>
      </c>
      <c r="H184" s="7">
        <f t="shared" si="21"/>
        <v>320000</v>
      </c>
      <c r="I184" s="315"/>
      <c r="J184" s="109">
        <f>H184/$H$230</f>
        <v>7.1750503767013557E-2</v>
      </c>
    </row>
    <row r="185" spans="1:11" ht="17.25" thickTop="1" thickBot="1" x14ac:dyDescent="0.3">
      <c r="A185" s="227"/>
      <c r="B185" s="229"/>
      <c r="C185" s="227"/>
      <c r="D185" s="57" t="s">
        <v>2</v>
      </c>
      <c r="E185" s="8">
        <f>E183/E184</f>
        <v>1.2907090714285716</v>
      </c>
      <c r="F185" s="8">
        <v>0.5037231521212121</v>
      </c>
      <c r="G185" s="8">
        <f t="shared" ref="G185" si="22">G183/G184</f>
        <v>0.90663814769230766</v>
      </c>
      <c r="H185" s="46">
        <f>H183/H184</f>
        <v>1.0085783428124999</v>
      </c>
      <c r="I185" s="315"/>
      <c r="J185" s="103"/>
    </row>
    <row r="186" spans="1:11" ht="17.25" thickTop="1" thickBot="1" x14ac:dyDescent="0.3">
      <c r="A186" s="227"/>
      <c r="B186" s="229"/>
      <c r="C186" s="227"/>
      <c r="D186" s="65" t="s">
        <v>3</v>
      </c>
      <c r="E186" s="10">
        <f t="shared" ref="E186:G186" si="23">E183-E184</f>
        <v>40699.270000000019</v>
      </c>
      <c r="F186" s="10">
        <v>-81885.679900000003</v>
      </c>
      <c r="G186" s="10">
        <f t="shared" si="23"/>
        <v>-6068.5204000000012</v>
      </c>
      <c r="H186" s="255">
        <f>H183-H184</f>
        <v>2745.0696999999927</v>
      </c>
      <c r="I186" s="315"/>
      <c r="J186" s="104"/>
    </row>
    <row r="187" spans="1:11" ht="16.5" thickBot="1" x14ac:dyDescent="0.3">
      <c r="A187" s="227"/>
      <c r="B187" s="229"/>
      <c r="C187" s="227"/>
      <c r="D187" s="66" t="s">
        <v>4</v>
      </c>
      <c r="E187" s="9">
        <f t="shared" ref="E187:G187" si="24">E186/E183</f>
        <v>0.22523206651581942</v>
      </c>
      <c r="F187" s="9">
        <v>-0.98521746675516642</v>
      </c>
      <c r="G187" s="9">
        <f t="shared" si="24"/>
        <v>-0.10297587030209235</v>
      </c>
      <c r="H187" s="48">
        <f>H186/H183</f>
        <v>8.5053807407549469E-3</v>
      </c>
      <c r="I187" s="18"/>
      <c r="J187" s="105"/>
    </row>
    <row r="188" spans="1:11" ht="15.75" thickBot="1" x14ac:dyDescent="0.25">
      <c r="A188" s="6"/>
      <c r="B188" s="6"/>
      <c r="C188" s="75"/>
      <c r="D188" s="67" t="s">
        <v>26</v>
      </c>
      <c r="E188" s="36"/>
      <c r="F188" s="36"/>
      <c r="G188" s="36"/>
      <c r="H188" s="67"/>
      <c r="I188" s="36"/>
      <c r="J188" s="106"/>
    </row>
    <row r="189" spans="1:11" ht="15.75" hidden="1" outlineLevel="1" x14ac:dyDescent="0.25">
      <c r="A189" s="216" t="s">
        <v>57</v>
      </c>
      <c r="B189" s="213" t="s">
        <v>12</v>
      </c>
      <c r="C189" s="224" t="s">
        <v>69</v>
      </c>
      <c r="D189" s="77" t="s">
        <v>14</v>
      </c>
      <c r="E189" s="78">
        <v>630.48</v>
      </c>
      <c r="F189" s="78">
        <v>2643.67</v>
      </c>
      <c r="G189" s="79">
        <v>5011.4492</v>
      </c>
      <c r="H189" s="90">
        <f>+SUM(E189:G189)</f>
        <v>8285.5992000000006</v>
      </c>
      <c r="I189" s="301">
        <f>H189/H190</f>
        <v>0.32492545882352941</v>
      </c>
      <c r="J189" s="110" t="e">
        <v>#DIV/0!</v>
      </c>
    </row>
    <row r="190" spans="1:11" ht="16.5" hidden="1" outlineLevel="1" thickBot="1" x14ac:dyDescent="0.3">
      <c r="A190" s="217"/>
      <c r="B190" s="129"/>
      <c r="C190" s="225"/>
      <c r="D190" s="81" t="s">
        <v>1</v>
      </c>
      <c r="E190" s="82">
        <v>10000</v>
      </c>
      <c r="F190" s="82">
        <v>10000</v>
      </c>
      <c r="G190" s="82">
        <v>5500</v>
      </c>
      <c r="H190" s="141">
        <f>SUM(E190:G190)</f>
        <v>25500</v>
      </c>
      <c r="I190" s="302"/>
      <c r="J190" s="109">
        <f>H190/$H$230</f>
        <v>5.7176182689338932E-3</v>
      </c>
    </row>
    <row r="191" spans="1:11" ht="15.75" hidden="1" outlineLevel="1" x14ac:dyDescent="0.25">
      <c r="A191" s="216" t="s">
        <v>57</v>
      </c>
      <c r="B191" s="213" t="s">
        <v>12</v>
      </c>
      <c r="C191" s="224" t="s">
        <v>111</v>
      </c>
      <c r="D191" s="77" t="s">
        <v>14</v>
      </c>
      <c r="E191" s="78">
        <v>2366.17</v>
      </c>
      <c r="F191" s="78">
        <v>643.36</v>
      </c>
      <c r="G191" s="79">
        <v>371.72719999999998</v>
      </c>
      <c r="H191" s="90">
        <f>+SUM(E191:G191)</f>
        <v>3381.2572</v>
      </c>
      <c r="I191" s="301">
        <f>H191/H192</f>
        <v>1.3525028800000001</v>
      </c>
      <c r="J191" s="110" t="e">
        <v>#DIV/0!</v>
      </c>
    </row>
    <row r="192" spans="1:11" ht="16.5" hidden="1" outlineLevel="1" thickBot="1" x14ac:dyDescent="0.3">
      <c r="A192" s="217"/>
      <c r="B192" s="129"/>
      <c r="C192" s="225"/>
      <c r="D192" s="81" t="s">
        <v>1</v>
      </c>
      <c r="E192" s="82">
        <v>1500</v>
      </c>
      <c r="F192" s="82">
        <v>500</v>
      </c>
      <c r="G192" s="82">
        <v>500</v>
      </c>
      <c r="H192" s="141">
        <f>SUM(E192:G192)</f>
        <v>2500</v>
      </c>
      <c r="I192" s="302"/>
      <c r="J192" s="109">
        <f>H192/$H$230</f>
        <v>5.6055081067979341E-4</v>
      </c>
    </row>
    <row r="193" spans="1:13" ht="15.75" hidden="1" outlineLevel="1" x14ac:dyDescent="0.25">
      <c r="A193" s="216" t="s">
        <v>57</v>
      </c>
      <c r="B193" s="213" t="s">
        <v>12</v>
      </c>
      <c r="C193" s="218" t="s">
        <v>138</v>
      </c>
      <c r="D193" s="77" t="s">
        <v>14</v>
      </c>
      <c r="E193" s="78">
        <v>1493.5</v>
      </c>
      <c r="F193" s="78">
        <v>63.5</v>
      </c>
      <c r="G193" s="79">
        <v>201795.5</v>
      </c>
      <c r="H193" s="90">
        <f>+SUM(E193:G193)</f>
        <v>203352.5</v>
      </c>
      <c r="I193" s="301">
        <f>H193/H194</f>
        <v>0.96834523809523809</v>
      </c>
      <c r="J193" s="110" t="e">
        <v>#DIV/0!</v>
      </c>
    </row>
    <row r="194" spans="1:13" ht="16.5" hidden="1" outlineLevel="1" thickBot="1" x14ac:dyDescent="0.3">
      <c r="A194" s="217"/>
      <c r="B194" s="129"/>
      <c r="C194" s="219"/>
      <c r="D194" s="81" t="s">
        <v>1</v>
      </c>
      <c r="E194" s="82">
        <v>10000</v>
      </c>
      <c r="F194" s="82">
        <v>50000</v>
      </c>
      <c r="G194" s="82">
        <v>150000</v>
      </c>
      <c r="H194" s="141">
        <f>SUM(E194:G194)</f>
        <v>210000</v>
      </c>
      <c r="I194" s="302"/>
      <c r="J194" s="109">
        <f>H194/$H$230</f>
        <v>4.7086268097102646E-2</v>
      </c>
    </row>
    <row r="195" spans="1:13" ht="15.75" hidden="1" outlineLevel="1" x14ac:dyDescent="0.25">
      <c r="A195" s="216" t="s">
        <v>57</v>
      </c>
      <c r="B195" s="213" t="s">
        <v>12</v>
      </c>
      <c r="C195" s="218" t="s">
        <v>127</v>
      </c>
      <c r="D195" s="77" t="s">
        <v>14</v>
      </c>
      <c r="E195" s="78">
        <v>693</v>
      </c>
      <c r="F195" s="78">
        <v>1220</v>
      </c>
      <c r="G195" s="79">
        <v>2561.5</v>
      </c>
      <c r="H195" s="90">
        <f>+SUM(E195:G195)</f>
        <v>4474.5</v>
      </c>
      <c r="I195" s="301">
        <f>H195/H196</f>
        <v>0.27118181818181819</v>
      </c>
      <c r="J195" s="110" t="e">
        <v>#DIV/0!</v>
      </c>
    </row>
    <row r="196" spans="1:13" ht="16.5" hidden="1" outlineLevel="1" thickBot="1" x14ac:dyDescent="0.3">
      <c r="A196" s="217"/>
      <c r="B196" s="129"/>
      <c r="C196" s="219"/>
      <c r="D196" s="81" t="s">
        <v>1</v>
      </c>
      <c r="E196" s="82">
        <v>5500</v>
      </c>
      <c r="F196" s="82">
        <v>5500</v>
      </c>
      <c r="G196" s="82">
        <v>5500</v>
      </c>
      <c r="H196" s="141">
        <f>SUM(E196:G196)</f>
        <v>16500</v>
      </c>
      <c r="I196" s="302"/>
      <c r="J196" s="109">
        <f>H196/$H$230</f>
        <v>3.6996353504866364E-3</v>
      </c>
    </row>
    <row r="197" spans="1:13" ht="15.75" hidden="1" outlineLevel="1" x14ac:dyDescent="0.25">
      <c r="A197" s="216" t="s">
        <v>57</v>
      </c>
      <c r="B197" s="213" t="s">
        <v>12</v>
      </c>
      <c r="C197" s="218" t="s">
        <v>58</v>
      </c>
      <c r="D197" s="77" t="s">
        <v>14</v>
      </c>
      <c r="E197" s="78">
        <v>6875</v>
      </c>
      <c r="F197" s="78">
        <v>603.77269999999999</v>
      </c>
      <c r="G197" s="79"/>
      <c r="H197" s="90">
        <f>+SUM(E197:G197)</f>
        <v>7478.7726999999995</v>
      </c>
      <c r="I197" s="301">
        <f>H197/H198</f>
        <v>1.4957545399999999</v>
      </c>
      <c r="J197" s="110" t="e">
        <v>#DIV/0!</v>
      </c>
    </row>
    <row r="198" spans="1:13" ht="16.5" hidden="1" outlineLevel="1" thickBot="1" x14ac:dyDescent="0.3">
      <c r="A198" s="217"/>
      <c r="B198" s="129"/>
      <c r="C198" s="219"/>
      <c r="D198" s="81" t="s">
        <v>1</v>
      </c>
      <c r="E198" s="82">
        <v>2500</v>
      </c>
      <c r="F198" s="82">
        <v>2500</v>
      </c>
      <c r="G198" s="82">
        <v>0</v>
      </c>
      <c r="H198" s="141">
        <f>SUM(E198:G198)</f>
        <v>5000</v>
      </c>
      <c r="I198" s="302"/>
      <c r="J198" s="109">
        <f>H198/$H$230</f>
        <v>1.1211016213595868E-3</v>
      </c>
    </row>
    <row r="199" spans="1:13" ht="15.75" hidden="1" outlineLevel="1" x14ac:dyDescent="0.25">
      <c r="A199" s="216" t="s">
        <v>57</v>
      </c>
      <c r="B199" s="213" t="s">
        <v>12</v>
      </c>
      <c r="C199" s="218" t="s">
        <v>59</v>
      </c>
      <c r="D199" s="77" t="s">
        <v>14</v>
      </c>
      <c r="E199" s="78">
        <v>14605.48</v>
      </c>
      <c r="F199" s="78">
        <v>19112.52</v>
      </c>
      <c r="G199" s="79">
        <v>29500.84</v>
      </c>
      <c r="H199" s="90">
        <f>+SUM(E199:G199)</f>
        <v>63218.84</v>
      </c>
      <c r="I199" s="301">
        <f>H199/H200</f>
        <v>0.90312628571428566</v>
      </c>
      <c r="J199" s="110" t="e">
        <v>#DIV/0!</v>
      </c>
    </row>
    <row r="200" spans="1:13" ht="16.5" hidden="1" outlineLevel="1" thickBot="1" x14ac:dyDescent="0.3">
      <c r="A200" s="217"/>
      <c r="B200" s="129"/>
      <c r="C200" s="219"/>
      <c r="D200" s="81" t="s">
        <v>1</v>
      </c>
      <c r="E200" s="82">
        <v>25000</v>
      </c>
      <c r="F200" s="82">
        <v>20000</v>
      </c>
      <c r="G200" s="82">
        <v>25000</v>
      </c>
      <c r="H200" s="141">
        <f>SUM(E200:G200)</f>
        <v>70000</v>
      </c>
      <c r="I200" s="302"/>
      <c r="J200" s="109">
        <f>H200/$H$230</f>
        <v>1.5695422699034216E-2</v>
      </c>
    </row>
    <row r="201" spans="1:13" ht="15.75" hidden="1" outlineLevel="1" x14ac:dyDescent="0.25">
      <c r="A201" s="216" t="s">
        <v>57</v>
      </c>
      <c r="B201" s="213" t="s">
        <v>12</v>
      </c>
      <c r="C201" s="218" t="s">
        <v>60</v>
      </c>
      <c r="D201" s="77" t="s">
        <v>14</v>
      </c>
      <c r="E201" s="78">
        <v>4987.3999999999996</v>
      </c>
      <c r="F201" s="78">
        <v>2454</v>
      </c>
      <c r="G201" s="79">
        <v>85467.199999999997</v>
      </c>
      <c r="H201" s="90">
        <f>+SUM(E201:G201)</f>
        <v>92908.599999999991</v>
      </c>
      <c r="I201" s="301">
        <f>H201/H202</f>
        <v>3.096953333333333</v>
      </c>
      <c r="J201" s="110" t="e">
        <v>#DIV/0!</v>
      </c>
    </row>
    <row r="202" spans="1:13" ht="16.5" hidden="1" outlineLevel="1" thickBot="1" x14ac:dyDescent="0.3">
      <c r="A202" s="217"/>
      <c r="B202" s="129"/>
      <c r="C202" s="219"/>
      <c r="D202" s="81" t="s">
        <v>1</v>
      </c>
      <c r="E202" s="82">
        <v>10000</v>
      </c>
      <c r="F202" s="82">
        <v>10000</v>
      </c>
      <c r="G202" s="82">
        <v>10000</v>
      </c>
      <c r="H202" s="141">
        <f>SUM(E202:G202)</f>
        <v>30000</v>
      </c>
      <c r="I202" s="302"/>
      <c r="J202" s="109">
        <f>H202/$H$230</f>
        <v>6.726609728157521E-3</v>
      </c>
    </row>
    <row r="203" spans="1:13" ht="15.75" hidden="1" outlineLevel="1" x14ac:dyDescent="0.25">
      <c r="A203" s="216" t="s">
        <v>57</v>
      </c>
      <c r="B203" s="213" t="s">
        <v>12</v>
      </c>
      <c r="C203" s="218" t="s">
        <v>72</v>
      </c>
      <c r="D203" s="77" t="s">
        <v>14</v>
      </c>
      <c r="E203" s="78">
        <v>251342.55</v>
      </c>
      <c r="F203" s="78">
        <v>37393.85</v>
      </c>
      <c r="G203" s="79">
        <v>18073.8</v>
      </c>
      <c r="H203" s="90">
        <f>+SUM(E203:G203)</f>
        <v>306810.19999999995</v>
      </c>
      <c r="I203" s="301">
        <f>H203/H204</f>
        <v>1.1938140077821009</v>
      </c>
      <c r="J203" s="110" t="e">
        <v>#DIV/0!</v>
      </c>
    </row>
    <row r="204" spans="1:13" ht="16.5" hidden="1" outlineLevel="1" thickBot="1" x14ac:dyDescent="0.3">
      <c r="A204" s="217"/>
      <c r="B204" s="129"/>
      <c r="C204" s="219"/>
      <c r="D204" s="81" t="s">
        <v>1</v>
      </c>
      <c r="E204" s="82">
        <v>0</v>
      </c>
      <c r="F204" s="82">
        <v>257000</v>
      </c>
      <c r="G204" s="82"/>
      <c r="H204" s="141">
        <f>SUM(E204:G204)</f>
        <v>257000</v>
      </c>
      <c r="I204" s="302"/>
      <c r="J204" s="109">
        <f>H204/$H$230</f>
        <v>5.7624623337882763E-2</v>
      </c>
    </row>
    <row r="205" spans="1:13" ht="15.75" hidden="1" outlineLevel="1" x14ac:dyDescent="0.25">
      <c r="A205" s="216" t="s">
        <v>57</v>
      </c>
      <c r="B205" s="213" t="s">
        <v>12</v>
      </c>
      <c r="C205" s="218" t="s">
        <v>61</v>
      </c>
      <c r="D205" s="77" t="s">
        <v>14</v>
      </c>
      <c r="E205" s="78">
        <v>2603.0500000000002</v>
      </c>
      <c r="F205" s="78">
        <v>1762.57</v>
      </c>
      <c r="G205" s="79">
        <v>5041.45</v>
      </c>
      <c r="H205" s="90">
        <f>+SUM(E205:G205)</f>
        <v>9407.07</v>
      </c>
      <c r="I205" s="301">
        <f>H205/H206</f>
        <v>1.1067141176470587</v>
      </c>
      <c r="J205" s="110" t="e">
        <v>#DIV/0!</v>
      </c>
    </row>
    <row r="206" spans="1:13" ht="16.5" hidden="1" outlineLevel="1" thickBot="1" x14ac:dyDescent="0.3">
      <c r="A206" s="217"/>
      <c r="B206" s="129"/>
      <c r="C206" s="219"/>
      <c r="D206" s="81" t="s">
        <v>1</v>
      </c>
      <c r="E206" s="248">
        <v>2500</v>
      </c>
      <c r="F206" s="82">
        <v>2500</v>
      </c>
      <c r="G206" s="82">
        <v>3500</v>
      </c>
      <c r="H206" s="141">
        <f>SUM(E206:G206)</f>
        <v>8500</v>
      </c>
      <c r="I206" s="302"/>
      <c r="J206" s="109">
        <f>H206/$H$230</f>
        <v>1.9058727563112977E-3</v>
      </c>
    </row>
    <row r="207" spans="1:13" ht="16.5" hidden="1" outlineLevel="1" thickBot="1" x14ac:dyDescent="0.3">
      <c r="A207" s="216" t="s">
        <v>57</v>
      </c>
      <c r="B207" s="213" t="s">
        <v>23</v>
      </c>
      <c r="C207" s="214" t="s">
        <v>62</v>
      </c>
      <c r="D207" s="77" t="s">
        <v>14</v>
      </c>
      <c r="E207" s="250">
        <v>30508.7</v>
      </c>
      <c r="F207" s="78">
        <v>31795.13</v>
      </c>
      <c r="G207" s="79">
        <v>89723.91</v>
      </c>
      <c r="H207" s="241">
        <f>+SUM(E207:G207)</f>
        <v>152027.74</v>
      </c>
      <c r="I207" s="319">
        <f>H207/H209</f>
        <v>1.1261314074074074</v>
      </c>
      <c r="J207" s="242" t="e">
        <v>#DIV/0!</v>
      </c>
      <c r="M207" s="130"/>
    </row>
    <row r="208" spans="1:13" ht="16.5" hidden="1" outlineLevel="1" thickBot="1" x14ac:dyDescent="0.3">
      <c r="A208" s="217"/>
      <c r="B208" s="129"/>
      <c r="C208" s="215"/>
      <c r="D208" s="84" t="s">
        <v>25</v>
      </c>
      <c r="E208" s="249"/>
      <c r="F208" s="124"/>
      <c r="G208" s="124"/>
      <c r="H208" s="91">
        <f>SUM(E208:G208)</f>
        <v>0</v>
      </c>
      <c r="I208" s="320"/>
      <c r="J208" s="111" t="e">
        <v>#DIV/0!</v>
      </c>
    </row>
    <row r="209" spans="1:12" ht="17.25" hidden="1" outlineLevel="1" thickTop="1" thickBot="1" x14ac:dyDescent="0.3">
      <c r="A209" s="217"/>
      <c r="B209" s="129"/>
      <c r="C209" s="215"/>
      <c r="D209" s="81" t="s">
        <v>1</v>
      </c>
      <c r="E209" s="82">
        <v>40000</v>
      </c>
      <c r="F209" s="82">
        <v>50000</v>
      </c>
      <c r="G209" s="82">
        <v>45000</v>
      </c>
      <c r="H209" s="88">
        <f>SUM(E209:G209)</f>
        <v>135000</v>
      </c>
      <c r="I209" s="321"/>
      <c r="J209" s="109">
        <f>H209/$H$230</f>
        <v>3.0269743776708845E-2</v>
      </c>
      <c r="K209" s="130"/>
      <c r="L209" s="130"/>
    </row>
    <row r="210" spans="1:12" ht="17.25" collapsed="1" thickTop="1" thickBot="1" x14ac:dyDescent="0.25">
      <c r="A210" s="226" t="s">
        <v>57</v>
      </c>
      <c r="B210" s="228" t="s">
        <v>0</v>
      </c>
      <c r="C210" s="226" t="s">
        <v>0</v>
      </c>
      <c r="D210" s="96" t="s">
        <v>14</v>
      </c>
      <c r="E210" s="97">
        <f t="shared" ref="E210:G210" si="25">SUM(E207+E205+E201+E199+E197+E195+E193+E191+E189+E208+E203)</f>
        <v>316105.33</v>
      </c>
      <c r="F210" s="97">
        <v>97692.372700000007</v>
      </c>
      <c r="G210" s="97">
        <f t="shared" si="25"/>
        <v>437547.37640000001</v>
      </c>
      <c r="H210" s="97">
        <f>SUM(H207+H205+H201+H203+H199+H197+H195+H193+H191+H189+H208)</f>
        <v>851345.07909999986</v>
      </c>
      <c r="I210" s="315">
        <f>H210/H211</f>
        <v>1.1201908935526315</v>
      </c>
      <c r="J210" s="110" t="e">
        <v>#DIV/0!</v>
      </c>
      <c r="K210" s="130"/>
    </row>
    <row r="211" spans="1:12" ht="17.25" thickTop="1" thickBot="1" x14ac:dyDescent="0.3">
      <c r="A211" s="227"/>
      <c r="B211" s="229"/>
      <c r="C211" s="227"/>
      <c r="D211" s="69" t="s">
        <v>1</v>
      </c>
      <c r="E211" s="19">
        <f t="shared" ref="E211:H211" si="26">SUM(E190,E192,E194,E196,E198,E200,E202,E204,E206,E209)</f>
        <v>107000</v>
      </c>
      <c r="F211" s="19">
        <v>408000</v>
      </c>
      <c r="G211" s="19">
        <f t="shared" si="26"/>
        <v>245000</v>
      </c>
      <c r="H211" s="19">
        <f t="shared" si="26"/>
        <v>760000</v>
      </c>
      <c r="I211" s="315"/>
      <c r="J211" s="109">
        <f>H211/$H$230</f>
        <v>0.1704074464466572</v>
      </c>
    </row>
    <row r="212" spans="1:12" ht="17.25" thickTop="1" thickBot="1" x14ac:dyDescent="0.3">
      <c r="A212" s="227"/>
      <c r="B212" s="229"/>
      <c r="C212" s="227"/>
      <c r="D212" s="70" t="s">
        <v>2</v>
      </c>
      <c r="E212" s="8">
        <f t="shared" ref="E212:G212" si="27">E210/E211</f>
        <v>2.9542554205607479</v>
      </c>
      <c r="F212" s="8">
        <v>0.2394420899509804</v>
      </c>
      <c r="G212" s="8">
        <f t="shared" si="27"/>
        <v>1.7859076587755103</v>
      </c>
      <c r="H212" s="50">
        <f>H210/H211</f>
        <v>1.1201908935526315</v>
      </c>
      <c r="I212" s="315"/>
      <c r="J212" s="103"/>
    </row>
    <row r="213" spans="1:12" ht="17.25" thickTop="1" thickBot="1" x14ac:dyDescent="0.3">
      <c r="A213" s="227"/>
      <c r="B213" s="229"/>
      <c r="C213" s="227"/>
      <c r="D213" s="71" t="s">
        <v>3</v>
      </c>
      <c r="E213" s="10">
        <f>E210-E211</f>
        <v>209105.33000000002</v>
      </c>
      <c r="F213" s="10">
        <v>-310307.62729999999</v>
      </c>
      <c r="G213" s="10">
        <f t="shared" ref="G213" si="28">G210-G211</f>
        <v>192547.37640000001</v>
      </c>
      <c r="H213" s="51">
        <f>H210-H211</f>
        <v>91345.079099999857</v>
      </c>
      <c r="I213" s="315"/>
      <c r="J213" s="104"/>
    </row>
    <row r="214" spans="1:12" ht="16.5" thickBot="1" x14ac:dyDescent="0.3">
      <c r="A214" s="227"/>
      <c r="B214" s="229"/>
      <c r="C214" s="227"/>
      <c r="D214" s="72" t="s">
        <v>4</v>
      </c>
      <c r="E214" s="52">
        <f>E213/E210</f>
        <v>0.661505233081644</v>
      </c>
      <c r="F214" s="52">
        <v>-3.1763751736577484</v>
      </c>
      <c r="G214" s="9">
        <f t="shared" ref="G214" si="29">G213/G210</f>
        <v>0.44006063522587724</v>
      </c>
      <c r="H214" s="52">
        <f>H213/H210</f>
        <v>0.10729501038117867</v>
      </c>
      <c r="I214" s="22"/>
      <c r="J214" s="107"/>
    </row>
    <row r="215" spans="1:12" ht="15.75" thickBot="1" x14ac:dyDescent="0.25">
      <c r="A215" s="6"/>
      <c r="B215" s="6"/>
      <c r="C215" s="75"/>
      <c r="D215" s="99" t="s">
        <v>26</v>
      </c>
      <c r="E215" s="98"/>
      <c r="F215" s="98"/>
      <c r="G215" s="98"/>
      <c r="H215" s="99"/>
      <c r="I215" s="98"/>
      <c r="J215" s="106"/>
    </row>
    <row r="216" spans="1:12" ht="15.75" hidden="1" outlineLevel="1" x14ac:dyDescent="0.25">
      <c r="A216" s="216" t="s">
        <v>63</v>
      </c>
      <c r="B216" s="213" t="s">
        <v>23</v>
      </c>
      <c r="C216" s="218" t="s">
        <v>63</v>
      </c>
      <c r="D216" s="77" t="s">
        <v>14</v>
      </c>
      <c r="E216" s="78">
        <v>6703.46</v>
      </c>
      <c r="F216" s="78">
        <v>13445.69</v>
      </c>
      <c r="G216" s="79">
        <v>21551.61</v>
      </c>
      <c r="H216" s="90">
        <f>+SUM(E216:G216)</f>
        <v>41700.76</v>
      </c>
      <c r="I216" s="301">
        <f>H216/H217</f>
        <v>1.7375316666666667</v>
      </c>
      <c r="J216" s="110" t="e">
        <v>#DIV/0!</v>
      </c>
    </row>
    <row r="217" spans="1:12" ht="16.5" hidden="1" outlineLevel="1" thickBot="1" x14ac:dyDescent="0.3">
      <c r="A217" s="217"/>
      <c r="B217" s="129"/>
      <c r="C217" s="219"/>
      <c r="D217" s="81" t="s">
        <v>1</v>
      </c>
      <c r="E217" s="101">
        <v>8000</v>
      </c>
      <c r="F217" s="101">
        <v>8000</v>
      </c>
      <c r="G217" s="101">
        <v>8000</v>
      </c>
      <c r="H217" s="141">
        <f>SUM(E217:G217)</f>
        <v>24000</v>
      </c>
      <c r="I217" s="302"/>
      <c r="J217" s="109">
        <v>8.9600127449099374E-3</v>
      </c>
    </row>
    <row r="218" spans="1:12" ht="15.75" hidden="1" outlineLevel="1" x14ac:dyDescent="0.25">
      <c r="A218" s="213" t="s">
        <v>64</v>
      </c>
      <c r="B218" s="230" t="s">
        <v>65</v>
      </c>
      <c r="C218" s="214" t="s">
        <v>65</v>
      </c>
      <c r="D218" s="77" t="s">
        <v>14</v>
      </c>
      <c r="E218" s="78"/>
      <c r="F218" s="78">
        <v>0</v>
      </c>
      <c r="G218" s="79"/>
      <c r="H218" s="90">
        <f>+SUM(E218:G218)</f>
        <v>0</v>
      </c>
      <c r="I218" s="301" t="e">
        <f>H218/H219</f>
        <v>#DIV/0!</v>
      </c>
      <c r="J218" s="110" t="e">
        <v>#DIV/0!</v>
      </c>
    </row>
    <row r="219" spans="1:12" ht="16.5" hidden="1" outlineLevel="1" thickBot="1" x14ac:dyDescent="0.3">
      <c r="A219" s="129"/>
      <c r="B219" s="231"/>
      <c r="C219" s="215"/>
      <c r="D219" s="81" t="s">
        <v>1</v>
      </c>
      <c r="E219" s="101"/>
      <c r="F219" s="101"/>
      <c r="G219" s="101"/>
      <c r="H219" s="141">
        <f>SUM(E219:G219)</f>
        <v>0</v>
      </c>
      <c r="I219" s="302"/>
      <c r="J219" s="109">
        <f>H219/$H$230</f>
        <v>0</v>
      </c>
    </row>
    <row r="220" spans="1:12" ht="15.75" hidden="1" outlineLevel="1" x14ac:dyDescent="0.25">
      <c r="A220" s="213" t="s">
        <v>66</v>
      </c>
      <c r="B220" s="213" t="s">
        <v>67</v>
      </c>
      <c r="C220" s="214" t="s">
        <v>67</v>
      </c>
      <c r="D220" s="77" t="s">
        <v>14</v>
      </c>
      <c r="E220" s="78"/>
      <c r="F220" s="78">
        <v>0</v>
      </c>
      <c r="G220" s="79">
        <v>8390.6200000000008</v>
      </c>
      <c r="H220" s="90">
        <f>+SUM(E220:G220)</f>
        <v>8390.6200000000008</v>
      </c>
      <c r="I220" s="301" t="e">
        <f>H220/H221</f>
        <v>#DIV/0!</v>
      </c>
      <c r="J220" s="110" t="e">
        <v>#DIV/0!</v>
      </c>
    </row>
    <row r="221" spans="1:12" ht="16.5" hidden="1" outlineLevel="1" thickBot="1" x14ac:dyDescent="0.3">
      <c r="A221" s="129"/>
      <c r="B221" s="129"/>
      <c r="C221" s="215"/>
      <c r="D221" s="81" t="s">
        <v>1</v>
      </c>
      <c r="E221" s="101"/>
      <c r="F221" s="101"/>
      <c r="G221" s="101"/>
      <c r="H221" s="141">
        <f>SUM(E221:G221)</f>
        <v>0</v>
      </c>
      <c r="I221" s="302"/>
      <c r="J221" s="109">
        <f>H221/$H$230</f>
        <v>0</v>
      </c>
    </row>
    <row r="222" spans="1:12" ht="17.25" collapsed="1" thickTop="1" thickBot="1" x14ac:dyDescent="0.25">
      <c r="A222" s="228" t="s">
        <v>63</v>
      </c>
      <c r="B222" s="228" t="s">
        <v>0</v>
      </c>
      <c r="C222" s="226" t="s">
        <v>0</v>
      </c>
      <c r="D222" s="23" t="s">
        <v>14</v>
      </c>
      <c r="E222" s="74">
        <f t="shared" ref="E222:H223" si="30">SUM(E216,E218,E220)</f>
        <v>6703.46</v>
      </c>
      <c r="F222" s="74">
        <v>13445.69</v>
      </c>
      <c r="G222" s="74">
        <f t="shared" si="30"/>
        <v>29942.230000000003</v>
      </c>
      <c r="H222" s="74">
        <f t="shared" si="30"/>
        <v>50091.380000000005</v>
      </c>
      <c r="I222" s="315">
        <f>H222/H223</f>
        <v>2.0871408333333337</v>
      </c>
      <c r="J222" s="123" t="e">
        <v>#DIV/0!</v>
      </c>
    </row>
    <row r="223" spans="1:12" ht="17.25" thickTop="1" thickBot="1" x14ac:dyDescent="0.3">
      <c r="A223" s="229"/>
      <c r="B223" s="229"/>
      <c r="C223" s="227"/>
      <c r="D223" s="24" t="s">
        <v>1</v>
      </c>
      <c r="E223" s="27">
        <f t="shared" si="30"/>
        <v>8000</v>
      </c>
      <c r="F223" s="27">
        <v>8000</v>
      </c>
      <c r="G223" s="27">
        <f t="shared" si="30"/>
        <v>8000</v>
      </c>
      <c r="H223" s="27">
        <f t="shared" si="30"/>
        <v>24000</v>
      </c>
      <c r="I223" s="315"/>
      <c r="J223" s="109">
        <f>H223/$H$230</f>
        <v>5.3812877825260164E-3</v>
      </c>
    </row>
    <row r="224" spans="1:12" ht="17.25" thickTop="1" thickBot="1" x14ac:dyDescent="0.3">
      <c r="A224" s="229"/>
      <c r="B224" s="229"/>
      <c r="C224" s="227"/>
      <c r="D224" s="25" t="s">
        <v>2</v>
      </c>
      <c r="E224" s="8">
        <f>E222/E223</f>
        <v>0.83793249999999997</v>
      </c>
      <c r="F224" s="8">
        <v>1.6807112500000001</v>
      </c>
      <c r="G224" s="8">
        <f>G222/G223</f>
        <v>3.7427787500000003</v>
      </c>
      <c r="H224" s="50">
        <f>H222/H223</f>
        <v>2.0871408333333337</v>
      </c>
      <c r="I224" s="315"/>
      <c r="J224" s="103"/>
    </row>
    <row r="225" spans="1:10" ht="17.25" thickTop="1" thickBot="1" x14ac:dyDescent="0.3">
      <c r="A225" s="229"/>
      <c r="B225" s="229"/>
      <c r="C225" s="227"/>
      <c r="D225" s="26" t="s">
        <v>3</v>
      </c>
      <c r="E225" s="28">
        <f>E222-E223</f>
        <v>-1296.54</v>
      </c>
      <c r="F225" s="28">
        <v>5445.6900000000005</v>
      </c>
      <c r="G225" s="28">
        <v>-8000</v>
      </c>
      <c r="H225" s="53">
        <f>H222-H223</f>
        <v>26091.380000000005</v>
      </c>
      <c r="I225" s="315"/>
      <c r="J225" s="104"/>
    </row>
    <row r="226" spans="1:10" ht="16.5" thickBot="1" x14ac:dyDescent="0.3">
      <c r="A226" s="229"/>
      <c r="B226" s="229"/>
      <c r="C226" s="227"/>
      <c r="D226" s="73" t="s">
        <v>4</v>
      </c>
      <c r="E226" s="52">
        <f>E225/E222</f>
        <v>-0.19341355061416043</v>
      </c>
      <c r="F226" s="52">
        <v>0.40501379996117715</v>
      </c>
      <c r="G226" s="21" t="e">
        <v>#DIV/0!</v>
      </c>
      <c r="H226" s="52">
        <f>H225/H222</f>
        <v>0.5208756476663251</v>
      </c>
      <c r="I226" s="22"/>
      <c r="J226" s="107"/>
    </row>
    <row r="227" spans="1:10" x14ac:dyDescent="0.2">
      <c r="A227" s="106"/>
      <c r="B227" s="106"/>
      <c r="C227" s="121"/>
      <c r="D227" s="106"/>
      <c r="E227" s="106"/>
      <c r="F227" s="106"/>
      <c r="G227" s="106"/>
      <c r="H227" s="106"/>
      <c r="I227" s="106"/>
      <c r="J227" s="106"/>
    </row>
    <row r="228" spans="1:10" ht="16.5" thickBot="1" x14ac:dyDescent="0.25">
      <c r="A228" s="4"/>
      <c r="B228" s="4"/>
      <c r="C228" s="76"/>
      <c r="D228" s="2"/>
      <c r="E228" s="3"/>
      <c r="F228" s="3"/>
      <c r="G228" s="3"/>
      <c r="H228" s="3"/>
      <c r="I228" s="5"/>
      <c r="J228" s="1"/>
    </row>
    <row r="229" spans="1:10" ht="17.25" thickTop="1" thickBot="1" x14ac:dyDescent="0.25">
      <c r="A229" s="232" t="s">
        <v>68</v>
      </c>
      <c r="B229" s="233"/>
      <c r="C229" s="234"/>
      <c r="D229" s="29" t="s">
        <v>14</v>
      </c>
      <c r="E229" s="30">
        <f t="shared" ref="E229:H229" si="31">E222+E210+E183+E166+E111+E79+E46</f>
        <v>1690699.71</v>
      </c>
      <c r="F229" s="30">
        <v>1246190.1322999999</v>
      </c>
      <c r="G229" s="30">
        <f>G222+G210+G183+G166+G111+G79+G46</f>
        <v>1415618.2381</v>
      </c>
      <c r="H229" s="30">
        <f t="shared" si="31"/>
        <v>4352508.0804000003</v>
      </c>
      <c r="I229" s="317">
        <f>H229/H230</f>
        <v>0.97592077318342862</v>
      </c>
      <c r="J229" s="30" t="e">
        <v>#DIV/0!</v>
      </c>
    </row>
    <row r="230" spans="1:10" ht="17.25" thickTop="1" thickBot="1" x14ac:dyDescent="0.25">
      <c r="A230" s="235"/>
      <c r="B230" s="236"/>
      <c r="C230" s="237"/>
      <c r="D230" s="31" t="s">
        <v>1</v>
      </c>
      <c r="E230" s="134">
        <f>SUM(E223,E211,E184,E167,E112,E80,E47)</f>
        <v>1385665</v>
      </c>
      <c r="F230" s="134">
        <v>1507367</v>
      </c>
      <c r="G230" s="134">
        <f t="shared" ref="G230:H230" si="32">SUM(G223,G211,G184,G167,G112,G80,G47)</f>
        <v>1616867</v>
      </c>
      <c r="H230" s="134">
        <f t="shared" si="32"/>
        <v>4459899</v>
      </c>
      <c r="I230" s="317"/>
      <c r="J230" s="109">
        <f>H229/$H$230</f>
        <v>0.97592077318342862</v>
      </c>
    </row>
    <row r="231" spans="1:10" ht="17.25" thickTop="1" thickBot="1" x14ac:dyDescent="0.3">
      <c r="A231" s="235"/>
      <c r="B231" s="236"/>
      <c r="C231" s="237"/>
      <c r="D231" s="13" t="s">
        <v>2</v>
      </c>
      <c r="E231" s="8">
        <f t="shared" ref="E231:G231" si="33">E229/E230</f>
        <v>1.2201359708154569</v>
      </c>
      <c r="F231" s="8">
        <v>0.82673305989848522</v>
      </c>
      <c r="G231" s="8">
        <f t="shared" si="33"/>
        <v>0.87553165356210494</v>
      </c>
      <c r="H231" s="43">
        <f>H229/H230</f>
        <v>0.97592077318342862</v>
      </c>
      <c r="I231" s="317"/>
      <c r="J231" s="108"/>
    </row>
    <row r="232" spans="1:10" ht="17.25" thickTop="1" thickBot="1" x14ac:dyDescent="0.3">
      <c r="A232" s="235"/>
      <c r="B232" s="236"/>
      <c r="C232" s="237"/>
      <c r="D232" s="32" t="s">
        <v>3</v>
      </c>
      <c r="E232" s="33">
        <f>E229-E230</f>
        <v>305034.70999999996</v>
      </c>
      <c r="F232" s="33">
        <v>-261176.86770000006</v>
      </c>
      <c r="G232" s="33">
        <f t="shared" ref="G232" si="34">G229-G230</f>
        <v>-201248.76190000004</v>
      </c>
      <c r="H232" s="54">
        <f>H229-H230</f>
        <v>-107390.91959999967</v>
      </c>
      <c r="I232" s="317"/>
      <c r="J232" s="126"/>
    </row>
    <row r="233" spans="1:10" ht="17.25" thickTop="1" thickBot="1" x14ac:dyDescent="0.25">
      <c r="A233" s="238"/>
      <c r="B233" s="239"/>
      <c r="C233" s="240"/>
      <c r="D233" s="34" t="s">
        <v>4</v>
      </c>
      <c r="E233" s="55">
        <f>E232/E229</f>
        <v>0.18041921235084377</v>
      </c>
      <c r="F233" s="55">
        <v>-0.20958027264905832</v>
      </c>
      <c r="G233" s="55">
        <f t="shared" ref="G233" si="35">G232/G229</f>
        <v>-0.14216315987148487</v>
      </c>
      <c r="H233" s="55">
        <f>H232/H229</f>
        <v>-2.4673341810345435E-2</v>
      </c>
      <c r="I233" s="35"/>
      <c r="J233" s="107"/>
    </row>
    <row r="234" spans="1:10" ht="15.75" thickTop="1" x14ac:dyDescent="0.2">
      <c r="H234" s="139"/>
    </row>
  </sheetData>
  <mergeCells count="100">
    <mergeCell ref="I7:I8"/>
    <mergeCell ref="A1:G1"/>
    <mergeCell ref="H1:I1"/>
    <mergeCell ref="J1:J2"/>
    <mergeCell ref="I3:I4"/>
    <mergeCell ref="I5:I6"/>
    <mergeCell ref="I31:I32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60:I61"/>
    <mergeCell ref="I33:I34"/>
    <mergeCell ref="I35:I36"/>
    <mergeCell ref="I37:I38"/>
    <mergeCell ref="I39:I40"/>
    <mergeCell ref="I41:I42"/>
    <mergeCell ref="I43:I45"/>
    <mergeCell ref="I46:I49"/>
    <mergeCell ref="I52:I53"/>
    <mergeCell ref="I54:I55"/>
    <mergeCell ref="I56:I57"/>
    <mergeCell ref="I58:I59"/>
    <mergeCell ref="I89:I90"/>
    <mergeCell ref="I62:I63"/>
    <mergeCell ref="I64:I65"/>
    <mergeCell ref="I66:I67"/>
    <mergeCell ref="I68:I69"/>
    <mergeCell ref="I70:I71"/>
    <mergeCell ref="I72:I73"/>
    <mergeCell ref="I74:I75"/>
    <mergeCell ref="I76:I78"/>
    <mergeCell ref="I79:I82"/>
    <mergeCell ref="I85:I86"/>
    <mergeCell ref="I87:I88"/>
    <mergeCell ref="I117:I118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4"/>
    <mergeCell ref="I141:I142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66:I169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5"/>
    <mergeCell ref="I199:I200"/>
    <mergeCell ref="I172:I173"/>
    <mergeCell ref="I174:I175"/>
    <mergeCell ref="I176:I177"/>
    <mergeCell ref="I178:I179"/>
    <mergeCell ref="I180:I182"/>
    <mergeCell ref="I183:I186"/>
    <mergeCell ref="I189:I190"/>
    <mergeCell ref="I191:I192"/>
    <mergeCell ref="I193:I194"/>
    <mergeCell ref="I195:I196"/>
    <mergeCell ref="I197:I198"/>
    <mergeCell ref="I218:I219"/>
    <mergeCell ref="I220:I221"/>
    <mergeCell ref="I222:I225"/>
    <mergeCell ref="I229:I232"/>
    <mergeCell ref="I201:I202"/>
    <mergeCell ref="I203:I204"/>
    <mergeCell ref="I205:I206"/>
    <mergeCell ref="I207:I209"/>
    <mergeCell ref="I210:I213"/>
    <mergeCell ref="I216:I217"/>
  </mergeCells>
  <conditionalFormatting sqref="E3:E4 G3:G4 G5:H5 H39 H41 H43:H44 E46:F50 G48:G50 E55:G55 E57:G57 H66 E69:G69 E71:G71 H74 H76:H77 E79:F83 G81:G83 E90:G90 E92:G92 E94:G94 E96:G96 E98:G98 E100:G100 H105 H107 E110:G110 E111:F115 G113:G115 H119 H121 H123 H125 H127 H129 H131 H133 H135 H137 H139 H141 H143 H145 H147 H149 H151 H153 H155 H157 H159 H161 H163:H164 E166:F170 G168:G170 E175:G175 E177:G177 H180:H181 E183:F187 G185:G187 E192:G192 H199 H207:H209 E210:F214 G212:G214">
    <cfRule type="containsErrors" dxfId="10" priority="13">
      <formula>ISERROR(E3)</formula>
    </cfRule>
  </conditionalFormatting>
  <conditionalFormatting sqref="E10:G10 E12:G12 E14:G14 E16:G16 E18:G18 E20:G20 E22:G22 E24:G24 E26:G26 E28:G28 E30:G30 E32:G32 E34:G45">
    <cfRule type="containsErrors" dxfId="9" priority="1">
      <formula>ISERROR(E10)</formula>
    </cfRule>
  </conditionalFormatting>
  <conditionalFormatting sqref="F3:F5 F7:H7 E51:G53 E59:G61 E63:G67 E73:G78 E84:G88 E102:G108 E116:G165 E171:G173 E179:G182 E188:G190 E194:G209 E215:G221">
    <cfRule type="containsErrors" dxfId="8" priority="2">
      <formula>ISERROR(E3)</formula>
    </cfRule>
  </conditionalFormatting>
  <conditionalFormatting sqref="H3 E9:H9 E11:H11 E13:H13 E15:H15 E17:H17 E19:H19 E21:H21 E23:H23 E25:H25 E27:H27 E29:H29 E31:H31 E33:H33 H35 H37 G46:H47 E54:H54 E56:H56 E58:H58 H60 E62:H62 H64 E68:H68 E70:H70 E72:H72 G79:H80 H87 E89:H89 E91:H91 E93:H93 E95:H95 E97:H97 E99:H99 E101:H101 H103 E109:H109 G111:H112 G166:H167 E174:H174 E176:H176 E178:H178 G183:H184 E191:H191 E193:H193 H195 H197 H201 H203 H205 G210:H211 H218 H220 E222:H233">
    <cfRule type="containsErrors" dxfId="7" priority="10">
      <formula>ISERROR(E3)</formula>
    </cfRule>
  </conditionalFormatting>
  <conditionalFormatting sqref="H48:H52">
    <cfRule type="containsErrors" dxfId="6" priority="8">
      <formula>ISERROR(H48)</formula>
    </cfRule>
  </conditionalFormatting>
  <conditionalFormatting sqref="H81:H85">
    <cfRule type="containsErrors" dxfId="5" priority="7">
      <formula>ISERROR(H81)</formula>
    </cfRule>
  </conditionalFormatting>
  <conditionalFormatting sqref="H113:H117">
    <cfRule type="containsErrors" dxfId="4" priority="6">
      <formula>ISERROR(H113)</formula>
    </cfRule>
  </conditionalFormatting>
  <conditionalFormatting sqref="H168:H172">
    <cfRule type="containsErrors" dxfId="3" priority="5">
      <formula>ISERROR(H168)</formula>
    </cfRule>
  </conditionalFormatting>
  <conditionalFormatting sqref="H185:H189">
    <cfRule type="containsErrors" dxfId="2" priority="4">
      <formula>ISERROR(H185)</formula>
    </cfRule>
  </conditionalFormatting>
  <conditionalFormatting sqref="H212:H216">
    <cfRule type="containsErrors" dxfId="1" priority="3">
      <formula>ISERROR(H212)</formula>
    </cfRule>
  </conditionalFormatting>
  <conditionalFormatting sqref="J229">
    <cfRule type="containsErrors" dxfId="0" priority="25">
      <formula>ISERROR(J229)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69F8-F138-49DF-84E5-2F0B2408E066}">
  <dimension ref="A1:B86"/>
  <sheetViews>
    <sheetView workbookViewId="0">
      <selection activeCell="A2" sqref="A2:B86"/>
    </sheetView>
  </sheetViews>
  <sheetFormatPr defaultRowHeight="15" x14ac:dyDescent="0.25"/>
  <cols>
    <col min="1" max="1" width="31.5703125" bestFit="1" customWidth="1"/>
    <col min="2" max="2" width="12.5703125" style="247" bestFit="1" customWidth="1"/>
  </cols>
  <sheetData>
    <row r="1" spans="1:2" x14ac:dyDescent="0.25">
      <c r="A1" t="s">
        <v>125</v>
      </c>
      <c r="B1" s="247" t="s">
        <v>126</v>
      </c>
    </row>
    <row r="2" spans="1:2" x14ac:dyDescent="0.25">
      <c r="A2" s="253" t="s">
        <v>170</v>
      </c>
      <c r="B2" s="247" t="s">
        <v>171</v>
      </c>
    </row>
    <row r="3" spans="1:2" x14ac:dyDescent="0.25">
      <c r="A3" s="253" t="s">
        <v>172</v>
      </c>
      <c r="B3" s="247">
        <v>65</v>
      </c>
    </row>
    <row r="4" spans="1:2" x14ac:dyDescent="0.25">
      <c r="A4" s="253" t="s">
        <v>30</v>
      </c>
      <c r="B4" s="247">
        <v>8953.36</v>
      </c>
    </row>
    <row r="5" spans="1:2" x14ac:dyDescent="0.25">
      <c r="A5" s="253" t="s">
        <v>120</v>
      </c>
      <c r="B5" s="247">
        <v>350</v>
      </c>
    </row>
    <row r="6" spans="1:2" x14ac:dyDescent="0.25">
      <c r="A6" s="253" t="s">
        <v>54</v>
      </c>
      <c r="B6" s="247">
        <v>17993</v>
      </c>
    </row>
    <row r="7" spans="1:2" x14ac:dyDescent="0.25">
      <c r="A7" s="253" t="s">
        <v>15</v>
      </c>
      <c r="B7" s="247">
        <v>345</v>
      </c>
    </row>
    <row r="8" spans="1:2" x14ac:dyDescent="0.25">
      <c r="A8" s="253" t="s">
        <v>156</v>
      </c>
      <c r="B8" s="247">
        <v>2690.5</v>
      </c>
    </row>
    <row r="9" spans="1:2" x14ac:dyDescent="0.25">
      <c r="A9" s="253" t="s">
        <v>16</v>
      </c>
      <c r="B9" s="247">
        <v>1218</v>
      </c>
    </row>
    <row r="10" spans="1:2" x14ac:dyDescent="0.25">
      <c r="A10" s="253" t="s">
        <v>112</v>
      </c>
      <c r="B10" s="247">
        <v>3162.5</v>
      </c>
    </row>
    <row r="11" spans="1:2" x14ac:dyDescent="0.25">
      <c r="A11" s="253" t="s">
        <v>51</v>
      </c>
      <c r="B11" s="247">
        <v>1091.5</v>
      </c>
    </row>
    <row r="12" spans="1:2" x14ac:dyDescent="0.25">
      <c r="A12" s="253" t="s">
        <v>71</v>
      </c>
      <c r="B12" s="247">
        <v>10247</v>
      </c>
    </row>
    <row r="13" spans="1:2" x14ac:dyDescent="0.25">
      <c r="A13" s="253" t="s">
        <v>95</v>
      </c>
      <c r="B13" s="247">
        <v>10202.5</v>
      </c>
    </row>
    <row r="14" spans="1:2" x14ac:dyDescent="0.25">
      <c r="A14" s="253" t="s">
        <v>132</v>
      </c>
      <c r="B14" s="247">
        <v>1462</v>
      </c>
    </row>
    <row r="15" spans="1:2" x14ac:dyDescent="0.25">
      <c r="A15" s="253" t="s">
        <v>52</v>
      </c>
      <c r="B15" s="247">
        <v>35725</v>
      </c>
    </row>
    <row r="16" spans="1:2" x14ac:dyDescent="0.25">
      <c r="A16" s="253" t="s">
        <v>65</v>
      </c>
      <c r="B16" s="247">
        <v>100.8</v>
      </c>
    </row>
    <row r="17" spans="1:2" x14ac:dyDescent="0.25">
      <c r="A17" s="253" t="s">
        <v>17</v>
      </c>
      <c r="B17" s="247">
        <v>815.5</v>
      </c>
    </row>
    <row r="18" spans="1:2" x14ac:dyDescent="0.25">
      <c r="A18" s="253" t="s">
        <v>31</v>
      </c>
      <c r="B18" s="247">
        <v>-113.7</v>
      </c>
    </row>
    <row r="19" spans="1:2" x14ac:dyDescent="0.25">
      <c r="A19" s="253" t="s">
        <v>136</v>
      </c>
      <c r="B19" s="247">
        <v>722.22</v>
      </c>
    </row>
    <row r="20" spans="1:2" x14ac:dyDescent="0.25">
      <c r="A20" s="253" t="s">
        <v>142</v>
      </c>
      <c r="B20" s="247">
        <v>117</v>
      </c>
    </row>
    <row r="21" spans="1:2" x14ac:dyDescent="0.25">
      <c r="A21" s="253" t="s">
        <v>167</v>
      </c>
      <c r="B21" s="247">
        <v>6263.3635000000004</v>
      </c>
    </row>
    <row r="22" spans="1:2" x14ac:dyDescent="0.25">
      <c r="A22" s="253" t="s">
        <v>147</v>
      </c>
      <c r="B22" s="247">
        <v>872</v>
      </c>
    </row>
    <row r="23" spans="1:2" x14ac:dyDescent="0.25">
      <c r="A23" s="253" t="s">
        <v>33</v>
      </c>
      <c r="B23" s="247">
        <v>1403.3</v>
      </c>
    </row>
    <row r="24" spans="1:2" x14ac:dyDescent="0.25">
      <c r="A24" s="253" t="s">
        <v>53</v>
      </c>
      <c r="B24" s="247">
        <v>7590.9090999999999</v>
      </c>
    </row>
    <row r="25" spans="1:2" x14ac:dyDescent="0.25">
      <c r="A25" s="253" t="s">
        <v>166</v>
      </c>
      <c r="B25" s="247">
        <v>2594.0500000000002</v>
      </c>
    </row>
    <row r="26" spans="1:2" x14ac:dyDescent="0.25">
      <c r="A26" s="253" t="s">
        <v>129</v>
      </c>
      <c r="B26" s="247">
        <v>8168.08</v>
      </c>
    </row>
    <row r="27" spans="1:2" x14ac:dyDescent="0.25">
      <c r="A27" s="253" t="s">
        <v>139</v>
      </c>
      <c r="B27" s="247">
        <v>3192</v>
      </c>
    </row>
    <row r="28" spans="1:2" x14ac:dyDescent="0.25">
      <c r="A28" s="253" t="s">
        <v>91</v>
      </c>
      <c r="B28" s="247">
        <v>-463</v>
      </c>
    </row>
    <row r="29" spans="1:2" x14ac:dyDescent="0.25">
      <c r="A29" s="253" t="s">
        <v>94</v>
      </c>
      <c r="B29" s="247">
        <v>3299.5567000000001</v>
      </c>
    </row>
    <row r="30" spans="1:2" x14ac:dyDescent="0.25">
      <c r="A30" s="253" t="s">
        <v>60</v>
      </c>
      <c r="B30" s="247">
        <v>-65</v>
      </c>
    </row>
    <row r="31" spans="1:2" x14ac:dyDescent="0.25">
      <c r="A31" s="253" t="s">
        <v>119</v>
      </c>
      <c r="B31" s="247">
        <v>80976.5</v>
      </c>
    </row>
    <row r="32" spans="1:2" x14ac:dyDescent="0.25">
      <c r="A32" s="253" t="s">
        <v>28</v>
      </c>
      <c r="B32" s="247">
        <v>2583</v>
      </c>
    </row>
    <row r="33" spans="1:2" x14ac:dyDescent="0.25">
      <c r="A33" s="253" t="s">
        <v>118</v>
      </c>
      <c r="B33" s="247">
        <v>6733</v>
      </c>
    </row>
    <row r="34" spans="1:2" x14ac:dyDescent="0.25">
      <c r="A34" s="253" t="s">
        <v>75</v>
      </c>
      <c r="B34" s="247">
        <v>5049.5</v>
      </c>
    </row>
    <row r="35" spans="1:2" x14ac:dyDescent="0.25">
      <c r="A35" s="253" t="s">
        <v>168</v>
      </c>
      <c r="B35" s="247">
        <v>22886.5</v>
      </c>
    </row>
    <row r="36" spans="1:2" x14ac:dyDescent="0.25">
      <c r="A36" s="253" t="s">
        <v>128</v>
      </c>
      <c r="B36" s="247">
        <v>793</v>
      </c>
    </row>
    <row r="37" spans="1:2" x14ac:dyDescent="0.25">
      <c r="A37" s="253" t="s">
        <v>122</v>
      </c>
      <c r="B37" s="247">
        <v>1715</v>
      </c>
    </row>
    <row r="38" spans="1:2" x14ac:dyDescent="0.25">
      <c r="A38" s="253" t="s">
        <v>138</v>
      </c>
      <c r="B38" s="247">
        <v>-171</v>
      </c>
    </row>
    <row r="39" spans="1:2" x14ac:dyDescent="0.25">
      <c r="A39" s="253" t="s">
        <v>123</v>
      </c>
      <c r="B39" s="247">
        <v>486.2</v>
      </c>
    </row>
    <row r="40" spans="1:2" x14ac:dyDescent="0.25">
      <c r="A40" s="253" t="s">
        <v>42</v>
      </c>
      <c r="B40" s="247">
        <v>10862</v>
      </c>
    </row>
    <row r="41" spans="1:2" x14ac:dyDescent="0.25">
      <c r="A41" s="253" t="s">
        <v>169</v>
      </c>
      <c r="B41" s="247">
        <v>850.05</v>
      </c>
    </row>
    <row r="42" spans="1:2" x14ac:dyDescent="0.25">
      <c r="A42" s="253" t="s">
        <v>117</v>
      </c>
      <c r="B42" s="247">
        <v>342.5</v>
      </c>
    </row>
    <row r="43" spans="1:2" x14ac:dyDescent="0.25">
      <c r="A43" s="253" t="s">
        <v>116</v>
      </c>
      <c r="B43" s="247">
        <v>7839.7</v>
      </c>
    </row>
    <row r="44" spans="1:2" x14ac:dyDescent="0.25">
      <c r="A44" s="253" t="s">
        <v>115</v>
      </c>
      <c r="B44" s="247">
        <v>1520</v>
      </c>
    </row>
    <row r="45" spans="1:2" x14ac:dyDescent="0.25">
      <c r="A45" s="253" t="s">
        <v>161</v>
      </c>
      <c r="B45" s="247">
        <v>788.77</v>
      </c>
    </row>
    <row r="46" spans="1:2" x14ac:dyDescent="0.25">
      <c r="A46" s="253" t="s">
        <v>34</v>
      </c>
      <c r="B46" s="247">
        <v>1081</v>
      </c>
    </row>
    <row r="47" spans="1:2" x14ac:dyDescent="0.25">
      <c r="A47" s="253" t="s">
        <v>127</v>
      </c>
      <c r="B47" s="247">
        <v>16702</v>
      </c>
    </row>
    <row r="48" spans="1:2" x14ac:dyDescent="0.25">
      <c r="A48" s="253" t="s">
        <v>140</v>
      </c>
      <c r="B48" s="247">
        <v>-477</v>
      </c>
    </row>
    <row r="49" spans="1:2" x14ac:dyDescent="0.25">
      <c r="A49" s="253" t="s">
        <v>43</v>
      </c>
      <c r="B49" s="247">
        <v>1442.2</v>
      </c>
    </row>
    <row r="50" spans="1:2" x14ac:dyDescent="0.25">
      <c r="A50" s="253" t="s">
        <v>114</v>
      </c>
      <c r="B50" s="247">
        <v>609.5</v>
      </c>
    </row>
    <row r="51" spans="1:2" x14ac:dyDescent="0.25">
      <c r="A51" s="253" t="s">
        <v>124</v>
      </c>
      <c r="B51" s="247">
        <v>2278</v>
      </c>
    </row>
    <row r="52" spans="1:2" x14ac:dyDescent="0.25">
      <c r="A52" s="253" t="s">
        <v>73</v>
      </c>
      <c r="B52" s="247">
        <v>310</v>
      </c>
    </row>
    <row r="53" spans="1:2" x14ac:dyDescent="0.25">
      <c r="A53" s="253" t="s">
        <v>46</v>
      </c>
      <c r="B53" s="247">
        <v>8509.41</v>
      </c>
    </row>
    <row r="54" spans="1:2" x14ac:dyDescent="0.25">
      <c r="A54" s="253" t="s">
        <v>163</v>
      </c>
      <c r="B54" s="247">
        <v>6275</v>
      </c>
    </row>
    <row r="55" spans="1:2" x14ac:dyDescent="0.25">
      <c r="A55" s="253" t="s">
        <v>41</v>
      </c>
      <c r="B55" s="247">
        <v>7002.5</v>
      </c>
    </row>
    <row r="56" spans="1:2" x14ac:dyDescent="0.25">
      <c r="A56" s="253" t="s">
        <v>134</v>
      </c>
      <c r="B56" s="247">
        <v>3799.74</v>
      </c>
    </row>
    <row r="57" spans="1:2" x14ac:dyDescent="0.25">
      <c r="A57" s="253" t="s">
        <v>59</v>
      </c>
      <c r="B57" s="247">
        <v>15966.04</v>
      </c>
    </row>
    <row r="58" spans="1:2" x14ac:dyDescent="0.25">
      <c r="A58" s="253" t="s">
        <v>20</v>
      </c>
      <c r="B58" s="247">
        <v>4390</v>
      </c>
    </row>
    <row r="59" spans="1:2" x14ac:dyDescent="0.25">
      <c r="A59" s="253" t="s">
        <v>29</v>
      </c>
      <c r="B59" s="247">
        <v>3046</v>
      </c>
    </row>
    <row r="60" spans="1:2" x14ac:dyDescent="0.25">
      <c r="A60" s="253" t="s">
        <v>93</v>
      </c>
      <c r="B60" s="247">
        <v>71077.67</v>
      </c>
    </row>
    <row r="61" spans="1:2" x14ac:dyDescent="0.25">
      <c r="A61" t="s">
        <v>121</v>
      </c>
      <c r="B61" s="247">
        <v>351.8</v>
      </c>
    </row>
    <row r="62" spans="1:2" x14ac:dyDescent="0.25">
      <c r="A62" t="s">
        <v>35</v>
      </c>
      <c r="B62" s="247">
        <v>12296.141</v>
      </c>
    </row>
    <row r="63" spans="1:2" x14ac:dyDescent="0.25">
      <c r="A63" t="s">
        <v>113</v>
      </c>
      <c r="B63" s="247">
        <v>1460</v>
      </c>
    </row>
    <row r="64" spans="1:2" x14ac:dyDescent="0.25">
      <c r="A64" t="s">
        <v>109</v>
      </c>
      <c r="B64" s="247">
        <v>1493.77</v>
      </c>
    </row>
    <row r="65" spans="1:2" x14ac:dyDescent="0.25">
      <c r="A65" t="s">
        <v>173</v>
      </c>
      <c r="B65" s="247">
        <v>183.05</v>
      </c>
    </row>
    <row r="66" spans="1:2" x14ac:dyDescent="0.25">
      <c r="A66" t="s">
        <v>96</v>
      </c>
      <c r="B66" s="247">
        <v>8078</v>
      </c>
    </row>
    <row r="67" spans="1:2" x14ac:dyDescent="0.25">
      <c r="A67" t="s">
        <v>48</v>
      </c>
      <c r="B67" s="247">
        <v>876.36350000000004</v>
      </c>
    </row>
    <row r="68" spans="1:2" x14ac:dyDescent="0.25">
      <c r="A68" t="s">
        <v>111</v>
      </c>
      <c r="B68" s="247">
        <v>562.08720000000005</v>
      </c>
    </row>
    <row r="69" spans="1:2" x14ac:dyDescent="0.25">
      <c r="A69" t="s">
        <v>141</v>
      </c>
      <c r="B69" s="247">
        <v>6906</v>
      </c>
    </row>
    <row r="70" spans="1:2" x14ac:dyDescent="0.25">
      <c r="A70" t="s">
        <v>130</v>
      </c>
      <c r="B70" s="247">
        <v>495</v>
      </c>
    </row>
    <row r="71" spans="1:2" x14ac:dyDescent="0.25">
      <c r="A71" t="s">
        <v>13</v>
      </c>
      <c r="B71" s="247">
        <v>1959.28</v>
      </c>
    </row>
    <row r="72" spans="1:2" x14ac:dyDescent="0.25">
      <c r="A72" t="s">
        <v>47</v>
      </c>
      <c r="B72" s="247">
        <v>7714.73</v>
      </c>
    </row>
    <row r="73" spans="1:2" x14ac:dyDescent="0.25">
      <c r="A73" t="s">
        <v>160</v>
      </c>
      <c r="B73" s="247">
        <v>2450.4508000000001</v>
      </c>
    </row>
    <row r="74" spans="1:2" x14ac:dyDescent="0.25">
      <c r="A74" t="s">
        <v>164</v>
      </c>
      <c r="B74" s="247">
        <v>264</v>
      </c>
    </row>
    <row r="75" spans="1:2" x14ac:dyDescent="0.25">
      <c r="A75" t="s">
        <v>174</v>
      </c>
      <c r="B75" s="247">
        <v>715</v>
      </c>
    </row>
    <row r="76" spans="1:2" x14ac:dyDescent="0.25">
      <c r="A76" t="s">
        <v>175</v>
      </c>
      <c r="B76" s="247">
        <v>2124.7654000000002</v>
      </c>
    </row>
    <row r="77" spans="1:2" x14ac:dyDescent="0.25">
      <c r="A77" t="s">
        <v>176</v>
      </c>
      <c r="B77" s="247">
        <v>12477.5</v>
      </c>
    </row>
    <row r="78" spans="1:2" x14ac:dyDescent="0.25">
      <c r="A78" t="s">
        <v>177</v>
      </c>
      <c r="B78" s="247">
        <v>2952.3</v>
      </c>
    </row>
    <row r="79" spans="1:2" x14ac:dyDescent="0.25">
      <c r="A79" t="s">
        <v>178</v>
      </c>
      <c r="B79" s="247">
        <v>17425.580999999998</v>
      </c>
    </row>
    <row r="80" spans="1:2" x14ac:dyDescent="0.25">
      <c r="A80" t="s">
        <v>179</v>
      </c>
      <c r="B80" s="247">
        <v>5242</v>
      </c>
    </row>
    <row r="81" spans="1:2" x14ac:dyDescent="0.25">
      <c r="A81" t="s">
        <v>180</v>
      </c>
      <c r="B81" s="247">
        <v>18168.812600000001</v>
      </c>
    </row>
    <row r="82" spans="1:2" x14ac:dyDescent="0.25">
      <c r="A82" t="s">
        <v>181</v>
      </c>
      <c r="B82" s="247">
        <v>10628.498100000001</v>
      </c>
    </row>
    <row r="83" spans="1:2" x14ac:dyDescent="0.25">
      <c r="A83" t="s">
        <v>182</v>
      </c>
      <c r="B83" s="247">
        <v>28517.088</v>
      </c>
    </row>
    <row r="84" spans="1:2" x14ac:dyDescent="0.25">
      <c r="A84" t="s">
        <v>183</v>
      </c>
      <c r="B84" s="247">
        <v>558.29999999999995</v>
      </c>
    </row>
    <row r="85" spans="1:2" x14ac:dyDescent="0.25">
      <c r="A85" t="s">
        <v>184</v>
      </c>
      <c r="B85" s="247">
        <v>7540.8</v>
      </c>
    </row>
    <row r="86" spans="1:2" x14ac:dyDescent="0.25">
      <c r="A86" t="s">
        <v>185</v>
      </c>
      <c r="B86" s="247">
        <v>17619.599999999999</v>
      </c>
    </row>
  </sheetData>
  <autoFilter ref="A1:B60" xr:uid="{B0EC69F8-F138-49DF-84E5-2F0B2408E06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CE424A9251C449EF5378D04175613" ma:contentTypeVersion="16" ma:contentTypeDescription="Create a new document." ma:contentTypeScope="" ma:versionID="b085448340ac7c882b26de3e971332ac">
  <xsd:schema xmlns:xsd="http://www.w3.org/2001/XMLSchema" xmlns:xs="http://www.w3.org/2001/XMLSchema" xmlns:p="http://schemas.microsoft.com/office/2006/metadata/properties" xmlns:ns2="f5a84934-5515-4334-9036-213253ad4b04" xmlns:ns3="b4718253-36d0-469a-9db5-723aa14a84d5" targetNamespace="http://schemas.microsoft.com/office/2006/metadata/properties" ma:root="true" ma:fieldsID="56b3bed3c03f2982a7ce3be2b18e14a6" ns2:_="" ns3:_="">
    <xsd:import namespace="f5a84934-5515-4334-9036-213253ad4b04"/>
    <xsd:import namespace="b4718253-36d0-469a-9db5-723aa14a8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84934-5515-4334-9036-213253ad4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18253-36d0-469a-9db5-723aa14a84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741EC3-CEF6-41B4-A252-96EEFAAB7F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70EB8E-FFAA-4FFB-8976-AF2044926C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a84934-5515-4334-9036-213253ad4b04"/>
    <ds:schemaRef ds:uri="b4718253-36d0-469a-9db5-723aa14a8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3441CA-71E5-4B6C-9E84-8F31D56E0FB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Snapshot</vt:lpstr>
      <vt:lpstr>25-26 Budget-Actual Invoiced</vt:lpstr>
      <vt:lpstr>Q1 ONLY</vt:lpstr>
      <vt:lpstr>Working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Jabbour</dc:creator>
  <cp:keywords/>
  <dc:description/>
  <cp:lastModifiedBy>Tony Boutros</cp:lastModifiedBy>
  <cp:revision/>
  <dcterms:created xsi:type="dcterms:W3CDTF">2019-11-11T01:51:38Z</dcterms:created>
  <dcterms:modified xsi:type="dcterms:W3CDTF">2026-02-05T02:32:24Z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0x01010006ECE424A9251C449EF5378D04175613</vt:lpwstr>
  </property>
  <property fmtid="{D5CDD505-2E9C-101B-9397-08002B2CF9AE}" pid="3" name="Order">
    <vt:r8>92100</vt:r8>
  </property>
</Properties>
</file>